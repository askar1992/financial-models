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939F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де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667085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  <fill>
      <patternFill patternType="solid">
        <fgColor rgb="00FFF6E5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3" fillId="3" borderId="0" pivotButton="0" quotePrefix="0" xfId="0"/>
    <xf numFmtId="0" fontId="4" fillId="0" borderId="0" applyAlignment="1" pivotButton="0" quotePrefix="0" xfId="0">
      <alignment indent="1"/>
    </xf>
    <xf numFmtId="3" fontId="5" fillId="4" borderId="1" pivotButton="0" quotePrefix="0" xfId="0"/>
    <xf numFmtId="164" fontId="5" fillId="4" borderId="1" pivotButton="0" quotePrefix="0" xfId="0"/>
    <xf numFmtId="9" fontId="5" fillId="4" borderId="1" pivotButton="0" quotePrefix="0" xfId="0"/>
    <xf numFmtId="0" fontId="5" fillId="5" borderId="0" pivotButton="0" quotePrefix="0" xfId="0"/>
    <xf numFmtId="0" fontId="5" fillId="5" borderId="1" applyAlignment="1" pivotButton="0" quotePrefix="0" xfId="0">
      <alignment horizontal="center"/>
    </xf>
    <xf numFmtId="3" fontId="4" fillId="0" borderId="1" pivotButton="0" quotePrefix="0" xfId="0"/>
    <xf numFmtId="0" fontId="5" fillId="0" borderId="0" applyAlignment="1" pivotButton="0" quotePrefix="0" xfId="0">
      <alignment indent="1"/>
    </xf>
    <xf numFmtId="3" fontId="5" fillId="0" borderId="1" pivotButton="0" quotePrefix="0" xfId="0"/>
    <xf numFmtId="164" fontId="4" fillId="0" borderId="1" pivotButton="0" quotePrefix="0" xfId="0"/>
    <xf numFmtId="3" fontId="5" fillId="5" borderId="1" pivotButton="0" quotePrefix="0" xfId="0"/>
    <xf numFmtId="165" fontId="5" fillId="5" borderId="1" pivotButton="0" quotePrefix="0" xfId="0"/>
    <xf numFmtId="164" fontId="5" fillId="5" borderId="1" pivotButton="0" quotePrefix="0" xfId="0"/>
    <xf numFmtId="49" fontId="5" fillId="5" borderId="1" pivotButton="0" quotePrefix="0" xfId="0"/>
    <xf numFmtId="0" fontId="6" fillId="0" borderId="0" pivotButton="0" quotePrefix="0" xfId="0"/>
    <xf numFmtId="0" fontId="1" fillId="2" borderId="0" applyAlignment="1" applyProtection="1" pivotButton="0" quotePrefix="0" xfId="0">
      <alignment vertical="center" indent="1"/>
      <protection locked="1" hidden="1"/>
    </xf>
    <xf numFmtId="0" fontId="0" fillId="0" borderId="0" applyProtection="1" pivotButton="0" quotePrefix="0" xfId="0">
      <protection locked="1" hidden="1"/>
    </xf>
    <xf numFmtId="0" fontId="2" fillId="2" borderId="0" applyAlignment="1" applyProtection="1" pivotButton="0" quotePrefix="0" xfId="0">
      <alignment vertical="center" indent="1"/>
      <protection locked="1" hidden="1"/>
    </xf>
    <xf numFmtId="0" fontId="3" fillId="3" borderId="0" applyProtection="1" pivotButton="0" quotePrefix="0" xfId="0">
      <protection locked="1" hidden="1"/>
    </xf>
    <xf numFmtId="0" fontId="4" fillId="0" borderId="0" applyAlignment="1" applyProtection="1" pivotButton="0" quotePrefix="0" xfId="0">
      <alignment indent="1"/>
      <protection locked="1" hidden="1"/>
    </xf>
    <xf numFmtId="3" fontId="5" fillId="4" borderId="1" applyProtection="1" pivotButton="0" quotePrefix="0" xfId="0">
      <protection locked="0" hidden="0"/>
    </xf>
    <xf numFmtId="164" fontId="5" fillId="4" borderId="1" applyProtection="1" pivotButton="0" quotePrefix="0" xfId="0">
      <protection locked="0" hidden="0"/>
    </xf>
    <xf numFmtId="9" fontId="5" fillId="4" borderId="1" applyProtection="1" pivotButton="0" quotePrefix="0" xfId="0">
      <protection locked="0" hidden="0"/>
    </xf>
    <xf numFmtId="0" fontId="5" fillId="5" borderId="0" applyProtection="1" pivotButton="0" quotePrefix="0" xfId="0">
      <protection locked="1" hidden="1"/>
    </xf>
    <xf numFmtId="0" fontId="5" fillId="5" borderId="1" applyAlignment="1" applyProtection="1" pivotButton="0" quotePrefix="0" xfId="0">
      <alignment horizontal="center"/>
      <protection locked="1" hidden="1"/>
    </xf>
    <xf numFmtId="3" fontId="4" fillId="0" borderId="1" applyProtection="1" pivotButton="0" quotePrefix="0" xfId="0">
      <protection locked="1" hidden="1"/>
    </xf>
    <xf numFmtId="0" fontId="5" fillId="0" borderId="0" applyAlignment="1" applyProtection="1" pivotButton="0" quotePrefix="0" xfId="0">
      <alignment indent="1"/>
      <protection locked="1" hidden="1"/>
    </xf>
    <xf numFmtId="3" fontId="5" fillId="0" borderId="1" applyProtection="1" pivotButton="0" quotePrefix="0" xfId="0">
      <protection locked="1" hidden="1"/>
    </xf>
    <xf numFmtId="164" fontId="4" fillId="0" borderId="1" applyProtection="1" pivotButton="0" quotePrefix="0" xfId="0">
      <protection locked="1" hidden="1"/>
    </xf>
    <xf numFmtId="3" fontId="5" fillId="5" borderId="1" applyProtection="1" pivotButton="0" quotePrefix="0" xfId="0">
      <protection locked="1" hidden="1"/>
    </xf>
    <xf numFmtId="165" fontId="5" fillId="5" borderId="1" applyProtection="1" pivotButton="0" quotePrefix="0" xfId="0">
      <protection locked="1" hidden="1"/>
    </xf>
    <xf numFmtId="164" fontId="5" fillId="5" borderId="1" applyProtection="1" pivotButton="0" quotePrefix="0" xfId="0">
      <protection locked="1" hidden="1"/>
    </xf>
    <xf numFmtId="49" fontId="5" fillId="5" borderId="1" applyProtection="1" pivotButton="0" quotePrefix="0" xfId="0">
      <protection locked="1" hidden="1"/>
    </xf>
    <xf numFmtId="0" fontId="6" fillId="0" borderId="0" applyProtection="1" pivotButton="0" quotePrefix="0" xfId="0">
      <protection locked="1" hidden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pane xSplit="1" ySplit="21" topLeftCell="B2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0" customHeight="1">
      <c r="A1" s="20" t="inlineStr">
        <is>
          <t>КОФЕЙНЯ — ФИНАНСОВАЯ МОДЕЛЬ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2">
      <c r="A2" s="22" t="inlineStr">
        <is>
          <t>Базовый уровень · отчёт о прибылях и убытках и движение денег · 12 месяцев · данные синтетические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</row>
    <row r="4">
      <c r="A4" s="23" t="inlineStr">
        <is>
          <t>ДОПУЩЕНИЯ  ·  меняются только эти ячейки, остальное считается формулами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A5" s="24" t="inlineStr">
        <is>
          <t>Средний чек, ₸</t>
        </is>
      </c>
      <c r="B5" s="25" t="n">
        <v>2200</v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</row>
    <row r="6">
      <c r="A6" s="24" t="inlineStr">
        <is>
          <t>Чеков в день, месяц 1</t>
        </is>
      </c>
      <c r="B6" s="25" t="n">
        <v>45</v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</row>
    <row r="7">
      <c r="A7" s="24" t="inlineStr">
        <is>
          <t>Прирост числа чеков, % в месяц</t>
        </is>
      </c>
      <c r="B7" s="26" t="n">
        <v>0.06</v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</row>
    <row r="8">
      <c r="A8" s="24" t="inlineStr">
        <is>
          <t>Рабочих дней в месяце</t>
        </is>
      </c>
      <c r="B8" s="25" t="n">
        <v>30</v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</row>
    <row r="9">
      <c r="A9" s="24" t="inlineStr">
        <is>
          <t>Себестоимость продукции, % от выручки</t>
        </is>
      </c>
      <c r="B9" s="27" t="n">
        <v>0.32</v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</row>
    <row r="10">
      <c r="A10" s="24" t="inlineStr">
        <is>
          <t>Аренда, ₸ в месяц</t>
        </is>
      </c>
      <c r="B10" s="25" t="n">
        <v>600000</v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</row>
    <row r="11">
      <c r="A11" s="24" t="inlineStr">
        <is>
          <t>Фонд оплаты труда на руки, ₸ в месяц</t>
        </is>
      </c>
      <c r="B11" s="25" t="n">
        <v>1100000</v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</row>
    <row r="12">
      <c r="A12" s="24" t="inlineStr">
        <is>
          <t>Налоги и отчисления с ФОТ, % к сумме на руки</t>
        </is>
      </c>
      <c r="B12" s="27" t="n">
        <v>0.27</v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</row>
    <row r="13">
      <c r="A13" s="24" t="inlineStr">
        <is>
          <t>Коммунальные услуги и связь, ₸ в месяц</t>
        </is>
      </c>
      <c r="B13" s="25" t="n">
        <v>120000</v>
      </c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</row>
    <row r="14">
      <c r="A14" s="24" t="inlineStr">
        <is>
          <t>Маркетинг, % от выручки</t>
        </is>
      </c>
      <c r="B14" s="27" t="n">
        <v>0.03</v>
      </c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</row>
    <row r="15">
      <c r="A15" s="24" t="inlineStr">
        <is>
          <t>Прочие операционные расходы, ₸ в месяц</t>
        </is>
      </c>
      <c r="B15" s="25" t="n">
        <v>90000</v>
      </c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</row>
    <row r="16">
      <c r="A16" s="24" t="inlineStr">
        <is>
          <t>Налог с оборота (упрощённый режим), %</t>
        </is>
      </c>
      <c r="B16" s="27" t="n">
        <v>0.04</v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</row>
    <row r="17">
      <c r="A17" s="24" t="inlineStr">
        <is>
          <t>Инвестиции на старте: ремонт и оборудование, ₸</t>
        </is>
      </c>
      <c r="B17" s="25" t="n">
        <v>14000000</v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</row>
    <row r="18">
      <c r="A18" s="24" t="inlineStr">
        <is>
          <t>Срок амортизации оборудования, лет</t>
        </is>
      </c>
      <c r="B18" s="25" t="n">
        <v>5</v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</row>
    <row r="19">
      <c r="A19" s="24" t="inlineStr">
        <is>
          <t>Собственные средства, внесены в месяц 1, ₸</t>
        </is>
      </c>
      <c r="B19" s="25" t="n">
        <v>20000000</v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</row>
    <row r="21">
      <c r="A21" s="28" t="inlineStr">
        <is>
          <t>СТАТЬЯ</t>
        </is>
      </c>
      <c r="B21" s="29" t="inlineStr">
        <is>
          <t>Мес 1</t>
        </is>
      </c>
      <c r="C21" s="29" t="inlineStr">
        <is>
          <t>Мес 2</t>
        </is>
      </c>
      <c r="D21" s="29" t="inlineStr">
        <is>
          <t>Мес 3</t>
        </is>
      </c>
      <c r="E21" s="29" t="inlineStr">
        <is>
          <t>Мес 4</t>
        </is>
      </c>
      <c r="F21" s="29" t="inlineStr">
        <is>
          <t>Мес 5</t>
        </is>
      </c>
      <c r="G21" s="29" t="inlineStr">
        <is>
          <t>Мес 6</t>
        </is>
      </c>
      <c r="H21" s="29" t="inlineStr">
        <is>
          <t>Мес 7</t>
        </is>
      </c>
      <c r="I21" s="29" t="inlineStr">
        <is>
          <t>Мес 8</t>
        </is>
      </c>
      <c r="J21" s="29" t="inlineStr">
        <is>
          <t>Мес 9</t>
        </is>
      </c>
      <c r="K21" s="29" t="inlineStr">
        <is>
          <t>Мес 10</t>
        </is>
      </c>
      <c r="L21" s="29" t="inlineStr">
        <is>
          <t>Мес 11</t>
        </is>
      </c>
      <c r="M21" s="29" t="inlineStr">
        <is>
          <t>Мес 12</t>
        </is>
      </c>
      <c r="N21" s="29" t="inlineStr">
        <is>
          <t>ИТОГО</t>
        </is>
      </c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</row>
    <row r="23">
      <c r="A23" s="23" t="inlineStr">
        <is>
          <t>ОТЧЁТ О ПРИБЫЛЯХ И УБЫТКАХ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4" t="inlineStr">
        <is>
          <t>Чеков в день</t>
        </is>
      </c>
      <c r="B24" s="30">
        <f>$B$6</f>
        <v/>
      </c>
      <c r="C24" s="30">
        <f>B24*(1+$B$7)</f>
        <v/>
      </c>
      <c r="D24" s="30">
        <f>C24*(1+$B$7)</f>
        <v/>
      </c>
      <c r="E24" s="30">
        <f>D24*(1+$B$7)</f>
        <v/>
      </c>
      <c r="F24" s="30">
        <f>E24*(1+$B$7)</f>
        <v/>
      </c>
      <c r="G24" s="30">
        <f>F24*(1+$B$7)</f>
        <v/>
      </c>
      <c r="H24" s="30">
        <f>G24*(1+$B$7)</f>
        <v/>
      </c>
      <c r="I24" s="30">
        <f>H24*(1+$B$7)</f>
        <v/>
      </c>
      <c r="J24" s="30">
        <f>I24*(1+$B$7)</f>
        <v/>
      </c>
      <c r="K24" s="30">
        <f>J24*(1+$B$7)</f>
        <v/>
      </c>
      <c r="L24" s="30">
        <f>K24*(1+$B$7)</f>
        <v/>
      </c>
      <c r="M24" s="30">
        <f>L24*(1+$B$7)</f>
        <v/>
      </c>
      <c r="N24" s="21" t="n"/>
    </row>
    <row r="25">
      <c r="A25" s="31" t="inlineStr">
        <is>
          <t>Выручка</t>
        </is>
      </c>
      <c r="B25" s="32">
        <f>B24*$B$8*$B$5</f>
        <v/>
      </c>
      <c r="C25" s="32">
        <f>C24*$B$8*$B$5</f>
        <v/>
      </c>
      <c r="D25" s="32">
        <f>D24*$B$8*$B$5</f>
        <v/>
      </c>
      <c r="E25" s="32">
        <f>E24*$B$8*$B$5</f>
        <v/>
      </c>
      <c r="F25" s="32">
        <f>F24*$B$8*$B$5</f>
        <v/>
      </c>
      <c r="G25" s="32">
        <f>G24*$B$8*$B$5</f>
        <v/>
      </c>
      <c r="H25" s="32">
        <f>H24*$B$8*$B$5</f>
        <v/>
      </c>
      <c r="I25" s="32">
        <f>I24*$B$8*$B$5</f>
        <v/>
      </c>
      <c r="J25" s="32">
        <f>J24*$B$8*$B$5</f>
        <v/>
      </c>
      <c r="K25" s="32">
        <f>K24*$B$8*$B$5</f>
        <v/>
      </c>
      <c r="L25" s="32">
        <f>L24*$B$8*$B$5</f>
        <v/>
      </c>
      <c r="M25" s="32">
        <f>M24*$B$8*$B$5</f>
        <v/>
      </c>
      <c r="N25" s="32">
        <f>SUM(B25:M25)</f>
        <v/>
      </c>
    </row>
    <row r="26">
      <c r="A26" s="24" t="inlineStr">
        <is>
          <t>Себестоимость продукции</t>
        </is>
      </c>
      <c r="B26" s="30">
        <f>-B25*$B$9</f>
        <v/>
      </c>
      <c r="C26" s="30">
        <f>-C25*$B$9</f>
        <v/>
      </c>
      <c r="D26" s="30">
        <f>-D25*$B$9</f>
        <v/>
      </c>
      <c r="E26" s="30">
        <f>-E25*$B$9</f>
        <v/>
      </c>
      <c r="F26" s="30">
        <f>-F25*$B$9</f>
        <v/>
      </c>
      <c r="G26" s="30">
        <f>-G25*$B$9</f>
        <v/>
      </c>
      <c r="H26" s="30">
        <f>-H25*$B$9</f>
        <v/>
      </c>
      <c r="I26" s="30">
        <f>-I25*$B$9</f>
        <v/>
      </c>
      <c r="J26" s="30">
        <f>-J25*$B$9</f>
        <v/>
      </c>
      <c r="K26" s="30">
        <f>-K25*$B$9</f>
        <v/>
      </c>
      <c r="L26" s="30">
        <f>-L25*$B$9</f>
        <v/>
      </c>
      <c r="M26" s="30">
        <f>-M25*$B$9</f>
        <v/>
      </c>
      <c r="N26" s="32">
        <f>SUM(B26:M26)</f>
        <v/>
      </c>
    </row>
    <row r="27">
      <c r="A27" s="31" t="inlineStr">
        <is>
          <t>ВАЛОВАЯ ПРИБЫЛЬ</t>
        </is>
      </c>
      <c r="B27" s="32">
        <f>B25+B26</f>
        <v/>
      </c>
      <c r="C27" s="32">
        <f>C25+C26</f>
        <v/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SUM(B27:M27)</f>
        <v/>
      </c>
    </row>
    <row r="28">
      <c r="A28" s="24" t="inlineStr">
        <is>
          <t>Валовая маржа, %</t>
        </is>
      </c>
      <c r="B28" s="33">
        <f>IF(B25=0,0,B27/B25)</f>
        <v/>
      </c>
      <c r="C28" s="33">
        <f>IF(C25=0,0,C27/C25)</f>
        <v/>
      </c>
      <c r="D28" s="33">
        <f>IF(D25=0,0,D27/D25)</f>
        <v/>
      </c>
      <c r="E28" s="33">
        <f>IF(E25=0,0,E27/E25)</f>
        <v/>
      </c>
      <c r="F28" s="33">
        <f>IF(F25=0,0,F27/F25)</f>
        <v/>
      </c>
      <c r="G28" s="33">
        <f>IF(G25=0,0,G27/G25)</f>
        <v/>
      </c>
      <c r="H28" s="33">
        <f>IF(H25=0,0,H27/H25)</f>
        <v/>
      </c>
      <c r="I28" s="33">
        <f>IF(I25=0,0,I27/I25)</f>
        <v/>
      </c>
      <c r="J28" s="33">
        <f>IF(J25=0,0,J27/J25)</f>
        <v/>
      </c>
      <c r="K28" s="33">
        <f>IF(K25=0,0,K27/K25)</f>
        <v/>
      </c>
      <c r="L28" s="33">
        <f>IF(L25=0,0,L27/L25)</f>
        <v/>
      </c>
      <c r="M28" s="33">
        <f>IF(M25=0,0,M27/M25)</f>
        <v/>
      </c>
      <c r="N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</row>
    <row r="30">
      <c r="A30" s="24" t="inlineStr">
        <is>
          <t>Аренда</t>
        </is>
      </c>
      <c r="B30" s="30">
        <f>-$B$10</f>
        <v/>
      </c>
      <c r="C30" s="30">
        <f>-$B$10</f>
        <v/>
      </c>
      <c r="D30" s="30">
        <f>-$B$10</f>
        <v/>
      </c>
      <c r="E30" s="30">
        <f>-$B$10</f>
        <v/>
      </c>
      <c r="F30" s="30">
        <f>-$B$10</f>
        <v/>
      </c>
      <c r="G30" s="30">
        <f>-$B$10</f>
        <v/>
      </c>
      <c r="H30" s="30">
        <f>-$B$10</f>
        <v/>
      </c>
      <c r="I30" s="30">
        <f>-$B$10</f>
        <v/>
      </c>
      <c r="J30" s="30">
        <f>-$B$10</f>
        <v/>
      </c>
      <c r="K30" s="30">
        <f>-$B$10</f>
        <v/>
      </c>
      <c r="L30" s="30">
        <f>-$B$10</f>
        <v/>
      </c>
      <c r="M30" s="30">
        <f>-$B$10</f>
        <v/>
      </c>
      <c r="N30" s="32">
        <f>SUM(B30:M30)</f>
        <v/>
      </c>
    </row>
    <row r="31">
      <c r="A31" s="24" t="inlineStr">
        <is>
          <t>Оплата труда с налогами</t>
        </is>
      </c>
      <c r="B31" s="30">
        <f>-$B$11*(1+$B$12)</f>
        <v/>
      </c>
      <c r="C31" s="30">
        <f>-$B$11*(1+$B$12)</f>
        <v/>
      </c>
      <c r="D31" s="30">
        <f>-$B$11*(1+$B$12)</f>
        <v/>
      </c>
      <c r="E31" s="30">
        <f>-$B$11*(1+$B$12)</f>
        <v/>
      </c>
      <c r="F31" s="30">
        <f>-$B$11*(1+$B$12)</f>
        <v/>
      </c>
      <c r="G31" s="30">
        <f>-$B$11*(1+$B$12)</f>
        <v/>
      </c>
      <c r="H31" s="30">
        <f>-$B$11*(1+$B$12)</f>
        <v/>
      </c>
      <c r="I31" s="30">
        <f>-$B$11*(1+$B$12)</f>
        <v/>
      </c>
      <c r="J31" s="30">
        <f>-$B$11*(1+$B$12)</f>
        <v/>
      </c>
      <c r="K31" s="30">
        <f>-$B$11*(1+$B$12)</f>
        <v/>
      </c>
      <c r="L31" s="30">
        <f>-$B$11*(1+$B$12)</f>
        <v/>
      </c>
      <c r="M31" s="30">
        <f>-$B$11*(1+$B$12)</f>
        <v/>
      </c>
      <c r="N31" s="32">
        <f>SUM(B31:M31)</f>
        <v/>
      </c>
    </row>
    <row r="32">
      <c r="A32" s="24" t="inlineStr">
        <is>
          <t>Коммунальные услуги и связь</t>
        </is>
      </c>
      <c r="B32" s="30">
        <f>-$B$13</f>
        <v/>
      </c>
      <c r="C32" s="30">
        <f>-$B$13</f>
        <v/>
      </c>
      <c r="D32" s="30">
        <f>-$B$13</f>
        <v/>
      </c>
      <c r="E32" s="30">
        <f>-$B$13</f>
        <v/>
      </c>
      <c r="F32" s="30">
        <f>-$B$13</f>
        <v/>
      </c>
      <c r="G32" s="30">
        <f>-$B$13</f>
        <v/>
      </c>
      <c r="H32" s="30">
        <f>-$B$13</f>
        <v/>
      </c>
      <c r="I32" s="30">
        <f>-$B$13</f>
        <v/>
      </c>
      <c r="J32" s="30">
        <f>-$B$13</f>
        <v/>
      </c>
      <c r="K32" s="30">
        <f>-$B$13</f>
        <v/>
      </c>
      <c r="L32" s="30">
        <f>-$B$13</f>
        <v/>
      </c>
      <c r="M32" s="30">
        <f>-$B$13</f>
        <v/>
      </c>
      <c r="N32" s="32">
        <f>SUM(B32:M32)</f>
        <v/>
      </c>
    </row>
    <row r="33">
      <c r="A33" s="24" t="inlineStr">
        <is>
          <t>Маркетинг</t>
        </is>
      </c>
      <c r="B33" s="30">
        <f>-B25*$B$14</f>
        <v/>
      </c>
      <c r="C33" s="30">
        <f>-C25*$B$14</f>
        <v/>
      </c>
      <c r="D33" s="30">
        <f>-D25*$B$14</f>
        <v/>
      </c>
      <c r="E33" s="30">
        <f>-E25*$B$14</f>
        <v/>
      </c>
      <c r="F33" s="30">
        <f>-F25*$B$14</f>
        <v/>
      </c>
      <c r="G33" s="30">
        <f>-G25*$B$14</f>
        <v/>
      </c>
      <c r="H33" s="30">
        <f>-H25*$B$14</f>
        <v/>
      </c>
      <c r="I33" s="30">
        <f>-I25*$B$14</f>
        <v/>
      </c>
      <c r="J33" s="30">
        <f>-J25*$B$14</f>
        <v/>
      </c>
      <c r="K33" s="30">
        <f>-K25*$B$14</f>
        <v/>
      </c>
      <c r="L33" s="30">
        <f>-L25*$B$14</f>
        <v/>
      </c>
      <c r="M33" s="30">
        <f>-M25*$B$14</f>
        <v/>
      </c>
      <c r="N33" s="32">
        <f>SUM(B33:M33)</f>
        <v/>
      </c>
    </row>
    <row r="34">
      <c r="A34" s="24" t="inlineStr">
        <is>
          <t>Прочие операционные</t>
        </is>
      </c>
      <c r="B34" s="30">
        <f>-$B$15</f>
        <v/>
      </c>
      <c r="C34" s="30">
        <f>-$B$15</f>
        <v/>
      </c>
      <c r="D34" s="30">
        <f>-$B$15</f>
        <v/>
      </c>
      <c r="E34" s="30">
        <f>-$B$15</f>
        <v/>
      </c>
      <c r="F34" s="30">
        <f>-$B$15</f>
        <v/>
      </c>
      <c r="G34" s="30">
        <f>-$B$15</f>
        <v/>
      </c>
      <c r="H34" s="30">
        <f>-$B$15</f>
        <v/>
      </c>
      <c r="I34" s="30">
        <f>-$B$15</f>
        <v/>
      </c>
      <c r="J34" s="30">
        <f>-$B$15</f>
        <v/>
      </c>
      <c r="K34" s="30">
        <f>-$B$15</f>
        <v/>
      </c>
      <c r="L34" s="30">
        <f>-$B$15</f>
        <v/>
      </c>
      <c r="M34" s="30">
        <f>-$B$15</f>
        <v/>
      </c>
      <c r="N34" s="32">
        <f>SUM(B34:M34)</f>
        <v/>
      </c>
    </row>
    <row r="35">
      <c r="A35" s="31" t="inlineStr">
        <is>
          <t>Итого операционные расходы</t>
        </is>
      </c>
      <c r="B35" s="32">
        <f>SUM(B30:B34)</f>
        <v/>
      </c>
      <c r="C35" s="32">
        <f>SUM(C30:C34)</f>
        <v/>
      </c>
      <c r="D35" s="32">
        <f>SUM(D30:D34)</f>
        <v/>
      </c>
      <c r="E35" s="32">
        <f>SUM(E30:E34)</f>
        <v/>
      </c>
      <c r="F35" s="32">
        <f>SUM(F30:F34)</f>
        <v/>
      </c>
      <c r="G35" s="32">
        <f>SUM(G30:G34)</f>
        <v/>
      </c>
      <c r="H35" s="32">
        <f>SUM(H30:H34)</f>
        <v/>
      </c>
      <c r="I35" s="32">
        <f>SUM(I30:I34)</f>
        <v/>
      </c>
      <c r="J35" s="32">
        <f>SUM(J30:J34)</f>
        <v/>
      </c>
      <c r="K35" s="32">
        <f>SUM(K30:K34)</f>
        <v/>
      </c>
      <c r="L35" s="32">
        <f>SUM(L30:L34)</f>
        <v/>
      </c>
      <c r="M35" s="32">
        <f>SUM(M30:M34)</f>
        <v/>
      </c>
      <c r="N35" s="32">
        <f>SUM(B35:M35)</f>
        <v/>
      </c>
    </row>
    <row r="36">
      <c r="A36" s="31" t="inlineStr">
        <is>
          <t>EBITDA</t>
        </is>
      </c>
      <c r="B36" s="32">
        <f>B27+B35</f>
        <v/>
      </c>
      <c r="C36" s="32">
        <f>C27+C35</f>
        <v/>
      </c>
      <c r="D36" s="32">
        <f>D27+D35</f>
        <v/>
      </c>
      <c r="E36" s="32">
        <f>E27+E35</f>
        <v/>
      </c>
      <c r="F36" s="32">
        <f>F27+F35</f>
        <v/>
      </c>
      <c r="G36" s="32">
        <f>G27+G35</f>
        <v/>
      </c>
      <c r="H36" s="32">
        <f>H27+H35</f>
        <v/>
      </c>
      <c r="I36" s="32">
        <f>I27+I35</f>
        <v/>
      </c>
      <c r="J36" s="32">
        <f>J27+J35</f>
        <v/>
      </c>
      <c r="K36" s="32">
        <f>K27+K35</f>
        <v/>
      </c>
      <c r="L36" s="32">
        <f>L27+L35</f>
        <v/>
      </c>
      <c r="M36" s="32">
        <f>M27+M35</f>
        <v/>
      </c>
      <c r="N36" s="32">
        <f>SUM(B36:M36)</f>
        <v/>
      </c>
    </row>
    <row r="37">
      <c r="A37" s="24" t="inlineStr">
        <is>
          <t>Амортизация</t>
        </is>
      </c>
      <c r="B37" s="30">
        <f>-$B$17/$B$18/12</f>
        <v/>
      </c>
      <c r="C37" s="30">
        <f>-$B$17/$B$18/12</f>
        <v/>
      </c>
      <c r="D37" s="30">
        <f>-$B$17/$B$18/12</f>
        <v/>
      </c>
      <c r="E37" s="30">
        <f>-$B$17/$B$18/12</f>
        <v/>
      </c>
      <c r="F37" s="30">
        <f>-$B$17/$B$18/12</f>
        <v/>
      </c>
      <c r="G37" s="30">
        <f>-$B$17/$B$18/12</f>
        <v/>
      </c>
      <c r="H37" s="30">
        <f>-$B$17/$B$18/12</f>
        <v/>
      </c>
      <c r="I37" s="30">
        <f>-$B$17/$B$18/12</f>
        <v/>
      </c>
      <c r="J37" s="30">
        <f>-$B$17/$B$18/12</f>
        <v/>
      </c>
      <c r="K37" s="30">
        <f>-$B$17/$B$18/12</f>
        <v/>
      </c>
      <c r="L37" s="30">
        <f>-$B$17/$B$18/12</f>
        <v/>
      </c>
      <c r="M37" s="30">
        <f>-$B$17/$B$18/12</f>
        <v/>
      </c>
      <c r="N37" s="32">
        <f>SUM(B37:M37)</f>
        <v/>
      </c>
    </row>
    <row r="38">
      <c r="A38" s="24" t="inlineStr">
        <is>
          <t>Налог с оборота</t>
        </is>
      </c>
      <c r="B38" s="30">
        <f>-B25*$B$16</f>
        <v/>
      </c>
      <c r="C38" s="30">
        <f>-C25*$B$16</f>
        <v/>
      </c>
      <c r="D38" s="30">
        <f>-D25*$B$16</f>
        <v/>
      </c>
      <c r="E38" s="30">
        <f>-E25*$B$16</f>
        <v/>
      </c>
      <c r="F38" s="30">
        <f>-F25*$B$16</f>
        <v/>
      </c>
      <c r="G38" s="30">
        <f>-G25*$B$16</f>
        <v/>
      </c>
      <c r="H38" s="30">
        <f>-H25*$B$16</f>
        <v/>
      </c>
      <c r="I38" s="30">
        <f>-I25*$B$16</f>
        <v/>
      </c>
      <c r="J38" s="30">
        <f>-J25*$B$16</f>
        <v/>
      </c>
      <c r="K38" s="30">
        <f>-K25*$B$16</f>
        <v/>
      </c>
      <c r="L38" s="30">
        <f>-L25*$B$16</f>
        <v/>
      </c>
      <c r="M38" s="30">
        <f>-M25*$B$16</f>
        <v/>
      </c>
      <c r="N38" s="32">
        <f>SUM(B38:M38)</f>
        <v/>
      </c>
    </row>
    <row r="39">
      <c r="A39" s="31" t="inlineStr">
        <is>
          <t>ЧИСТАЯ ПРИБЫЛЬ</t>
        </is>
      </c>
      <c r="B39" s="32">
        <f>B36+B37+B38</f>
        <v/>
      </c>
      <c r="C39" s="32">
        <f>C36+C37+C38</f>
        <v/>
      </c>
      <c r="D39" s="32">
        <f>D36+D37+D38</f>
        <v/>
      </c>
      <c r="E39" s="32">
        <f>E36+E37+E38</f>
        <v/>
      </c>
      <c r="F39" s="32">
        <f>F36+F37+F38</f>
        <v/>
      </c>
      <c r="G39" s="32">
        <f>G36+G37+G38</f>
        <v/>
      </c>
      <c r="H39" s="32">
        <f>H36+H37+H38</f>
        <v/>
      </c>
      <c r="I39" s="32">
        <f>I36+I37+I38</f>
        <v/>
      </c>
      <c r="J39" s="32">
        <f>J36+J37+J38</f>
        <v/>
      </c>
      <c r="K39" s="32">
        <f>K36+K37+K38</f>
        <v/>
      </c>
      <c r="L39" s="32">
        <f>L36+L37+L38</f>
        <v/>
      </c>
      <c r="M39" s="32">
        <f>M36+M37+M38</f>
        <v/>
      </c>
      <c r="N39" s="32">
        <f>SUM(B39:M39)</f>
        <v/>
      </c>
    </row>
    <row r="40">
      <c r="A40" s="24" t="inlineStr">
        <is>
          <t>Чистая прибыль накопительно</t>
        </is>
      </c>
      <c r="B40" s="30">
        <f>B39</f>
        <v/>
      </c>
      <c r="C40" s="30">
        <f>B40+C39</f>
        <v/>
      </c>
      <c r="D40" s="30">
        <f>C40+D39</f>
        <v/>
      </c>
      <c r="E40" s="30">
        <f>D40+E39</f>
        <v/>
      </c>
      <c r="F40" s="30">
        <f>E40+F39</f>
        <v/>
      </c>
      <c r="G40" s="30">
        <f>F40+G39</f>
        <v/>
      </c>
      <c r="H40" s="30">
        <f>G40+H39</f>
        <v/>
      </c>
      <c r="I40" s="30">
        <f>H40+I39</f>
        <v/>
      </c>
      <c r="J40" s="30">
        <f>I40+J39</f>
        <v/>
      </c>
      <c r="K40" s="30">
        <f>J40+K39</f>
        <v/>
      </c>
      <c r="L40" s="30">
        <f>K40+L39</f>
        <v/>
      </c>
      <c r="M40" s="30">
        <f>L40+M39</f>
        <v/>
      </c>
      <c r="N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</row>
    <row r="42">
      <c r="A42" s="23" t="inlineStr">
        <is>
          <t>ДВИЖЕНИЕ ДЕНЕЖНЫХ СРЕДСТВ</t>
        </is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</row>
    <row r="43">
      <c r="A43" s="31" t="inlineStr">
        <is>
          <t>Остаток на начало месяца</t>
        </is>
      </c>
      <c r="B43" s="32">
        <f>0</f>
        <v/>
      </c>
      <c r="C43" s="32">
        <f>B51</f>
        <v/>
      </c>
      <c r="D43" s="32">
        <f>C51</f>
        <v/>
      </c>
      <c r="E43" s="32">
        <f>D51</f>
        <v/>
      </c>
      <c r="F43" s="32">
        <f>E51</f>
        <v/>
      </c>
      <c r="G43" s="32">
        <f>F51</f>
        <v/>
      </c>
      <c r="H43" s="32">
        <f>G51</f>
        <v/>
      </c>
      <c r="I43" s="32">
        <f>H51</f>
        <v/>
      </c>
      <c r="J43" s="32">
        <f>I51</f>
        <v/>
      </c>
      <c r="K43" s="32">
        <f>J51</f>
        <v/>
      </c>
      <c r="L43" s="32">
        <f>K51</f>
        <v/>
      </c>
      <c r="M43" s="32">
        <f>L51</f>
        <v/>
      </c>
      <c r="N43" s="21" t="n"/>
    </row>
    <row r="44">
      <c r="A44" s="24" t="inlineStr">
        <is>
          <t>Поступления от продаж</t>
        </is>
      </c>
      <c r="B44" s="30">
        <f>B25</f>
        <v/>
      </c>
      <c r="C44" s="30">
        <f>C25</f>
        <v/>
      </c>
      <c r="D44" s="30">
        <f>D25</f>
        <v/>
      </c>
      <c r="E44" s="30">
        <f>E25</f>
        <v/>
      </c>
      <c r="F44" s="30">
        <f>F25</f>
        <v/>
      </c>
      <c r="G44" s="30">
        <f>G25</f>
        <v/>
      </c>
      <c r="H44" s="30">
        <f>H25</f>
        <v/>
      </c>
      <c r="I44" s="30">
        <f>I25</f>
        <v/>
      </c>
      <c r="J44" s="30">
        <f>J25</f>
        <v/>
      </c>
      <c r="K44" s="30">
        <f>K25</f>
        <v/>
      </c>
      <c r="L44" s="30">
        <f>L25</f>
        <v/>
      </c>
      <c r="M44" s="30">
        <f>M25</f>
        <v/>
      </c>
      <c r="N44" s="32">
        <f>SUM(B44:M44)</f>
        <v/>
      </c>
    </row>
    <row r="45">
      <c r="A45" s="24" t="inlineStr">
        <is>
          <t>Оплата поставщикам</t>
        </is>
      </c>
      <c r="B45" s="30">
        <f>B26</f>
        <v/>
      </c>
      <c r="C45" s="30">
        <f>C26</f>
        <v/>
      </c>
      <c r="D45" s="30">
        <f>D26</f>
        <v/>
      </c>
      <c r="E45" s="30">
        <f>E26</f>
        <v/>
      </c>
      <c r="F45" s="30">
        <f>F26</f>
        <v/>
      </c>
      <c r="G45" s="30">
        <f>G26</f>
        <v/>
      </c>
      <c r="H45" s="30">
        <f>H26</f>
        <v/>
      </c>
      <c r="I45" s="30">
        <f>I26</f>
        <v/>
      </c>
      <c r="J45" s="30">
        <f>J26</f>
        <v/>
      </c>
      <c r="K45" s="30">
        <f>K26</f>
        <v/>
      </c>
      <c r="L45" s="30">
        <f>L26</f>
        <v/>
      </c>
      <c r="M45" s="30">
        <f>M26</f>
        <v/>
      </c>
      <c r="N45" s="32">
        <f>SUM(B45:M45)</f>
        <v/>
      </c>
    </row>
    <row r="46">
      <c r="A46" s="24" t="inlineStr">
        <is>
          <t>Операционные расходы</t>
        </is>
      </c>
      <c r="B46" s="30">
        <f>B35</f>
        <v/>
      </c>
      <c r="C46" s="30">
        <f>C35</f>
        <v/>
      </c>
      <c r="D46" s="30">
        <f>D35</f>
        <v/>
      </c>
      <c r="E46" s="30">
        <f>E35</f>
        <v/>
      </c>
      <c r="F46" s="30">
        <f>F35</f>
        <v/>
      </c>
      <c r="G46" s="30">
        <f>G35</f>
        <v/>
      </c>
      <c r="H46" s="30">
        <f>H35</f>
        <v/>
      </c>
      <c r="I46" s="30">
        <f>I35</f>
        <v/>
      </c>
      <c r="J46" s="30">
        <f>J35</f>
        <v/>
      </c>
      <c r="K46" s="30">
        <f>K35</f>
        <v/>
      </c>
      <c r="L46" s="30">
        <f>L35</f>
        <v/>
      </c>
      <c r="M46" s="30">
        <f>M35</f>
        <v/>
      </c>
      <c r="N46" s="32">
        <f>SUM(B46:M46)</f>
        <v/>
      </c>
    </row>
    <row r="47">
      <c r="A47" s="24" t="inlineStr">
        <is>
          <t>Налог с оборота</t>
        </is>
      </c>
      <c r="B47" s="30">
        <f>B38</f>
        <v/>
      </c>
      <c r="C47" s="30">
        <f>C38</f>
        <v/>
      </c>
      <c r="D47" s="30">
        <f>D38</f>
        <v/>
      </c>
      <c r="E47" s="30">
        <f>E38</f>
        <v/>
      </c>
      <c r="F47" s="30">
        <f>F38</f>
        <v/>
      </c>
      <c r="G47" s="30">
        <f>G38</f>
        <v/>
      </c>
      <c r="H47" s="30">
        <f>H38</f>
        <v/>
      </c>
      <c r="I47" s="30">
        <f>I38</f>
        <v/>
      </c>
      <c r="J47" s="30">
        <f>J38</f>
        <v/>
      </c>
      <c r="K47" s="30">
        <f>K38</f>
        <v/>
      </c>
      <c r="L47" s="30">
        <f>L38</f>
        <v/>
      </c>
      <c r="M47" s="30">
        <f>M38</f>
        <v/>
      </c>
      <c r="N47" s="32">
        <f>SUM(B47:M47)</f>
        <v/>
      </c>
    </row>
    <row r="48">
      <c r="A48" s="24" t="inlineStr">
        <is>
          <t>Инвестиции: ремонт и оборудование</t>
        </is>
      </c>
      <c r="B48" s="30">
        <f>-$B$17</f>
        <v/>
      </c>
      <c r="C48" s="30">
        <f>0</f>
        <v/>
      </c>
      <c r="D48" s="30">
        <f>0</f>
        <v/>
      </c>
      <c r="E48" s="30">
        <f>0</f>
        <v/>
      </c>
      <c r="F48" s="30">
        <f>0</f>
        <v/>
      </c>
      <c r="G48" s="30">
        <f>0</f>
        <v/>
      </c>
      <c r="H48" s="30">
        <f>0</f>
        <v/>
      </c>
      <c r="I48" s="30">
        <f>0</f>
        <v/>
      </c>
      <c r="J48" s="30">
        <f>0</f>
        <v/>
      </c>
      <c r="K48" s="30">
        <f>0</f>
        <v/>
      </c>
      <c r="L48" s="30">
        <f>0</f>
        <v/>
      </c>
      <c r="M48" s="30">
        <f>0</f>
        <v/>
      </c>
      <c r="N48" s="32">
        <f>SUM(B48:M48)</f>
        <v/>
      </c>
    </row>
    <row r="49">
      <c r="A49" s="24" t="inlineStr">
        <is>
          <t>Взнос собственника</t>
        </is>
      </c>
      <c r="B49" s="30">
        <f>$B$19</f>
        <v/>
      </c>
      <c r="C49" s="30">
        <f>0</f>
        <v/>
      </c>
      <c r="D49" s="30">
        <f>0</f>
        <v/>
      </c>
      <c r="E49" s="30">
        <f>0</f>
        <v/>
      </c>
      <c r="F49" s="30">
        <f>0</f>
        <v/>
      </c>
      <c r="G49" s="30">
        <f>0</f>
        <v/>
      </c>
      <c r="H49" s="30">
        <f>0</f>
        <v/>
      </c>
      <c r="I49" s="30">
        <f>0</f>
        <v/>
      </c>
      <c r="J49" s="30">
        <f>0</f>
        <v/>
      </c>
      <c r="K49" s="30">
        <f>0</f>
        <v/>
      </c>
      <c r="L49" s="30">
        <f>0</f>
        <v/>
      </c>
      <c r="M49" s="30">
        <f>0</f>
        <v/>
      </c>
      <c r="N49" s="32">
        <f>SUM(B49:M49)</f>
        <v/>
      </c>
    </row>
    <row r="50">
      <c r="A50" s="31" t="inlineStr">
        <is>
          <t>Кассовый итог за месяц</t>
        </is>
      </c>
      <c r="B50" s="32">
        <f>SUM(B44:B49)</f>
        <v/>
      </c>
      <c r="C50" s="32">
        <f>SUM(C44:C49)</f>
        <v/>
      </c>
      <c r="D50" s="32">
        <f>SUM(D44:D49)</f>
        <v/>
      </c>
      <c r="E50" s="32">
        <f>SUM(E44:E49)</f>
        <v/>
      </c>
      <c r="F50" s="32">
        <f>SUM(F44:F49)</f>
        <v/>
      </c>
      <c r="G50" s="32">
        <f>SUM(G44:G49)</f>
        <v/>
      </c>
      <c r="H50" s="32">
        <f>SUM(H44:H49)</f>
        <v/>
      </c>
      <c r="I50" s="32">
        <f>SUM(I44:I49)</f>
        <v/>
      </c>
      <c r="J50" s="32">
        <f>SUM(J44:J49)</f>
        <v/>
      </c>
      <c r="K50" s="32">
        <f>SUM(K44:K49)</f>
        <v/>
      </c>
      <c r="L50" s="32">
        <f>SUM(L44:L49)</f>
        <v/>
      </c>
      <c r="M50" s="32">
        <f>SUM(M44:M49)</f>
        <v/>
      </c>
      <c r="N50" s="32">
        <f>SUM(B50:M50)</f>
        <v/>
      </c>
    </row>
    <row r="51">
      <c r="A51" s="31" t="inlineStr">
        <is>
          <t>ОСТАТОК НА КОНЕЦ МЕСЯЦА</t>
        </is>
      </c>
      <c r="B51" s="32">
        <f>B43+B50</f>
        <v/>
      </c>
      <c r="C51" s="32">
        <f>C43+C50</f>
        <v/>
      </c>
      <c r="D51" s="32">
        <f>D43+D50</f>
        <v/>
      </c>
      <c r="E51" s="32">
        <f>E43+E50</f>
        <v/>
      </c>
      <c r="F51" s="32">
        <f>F43+F50</f>
        <v/>
      </c>
      <c r="G51" s="32">
        <f>G43+G50</f>
        <v/>
      </c>
      <c r="H51" s="32">
        <f>H43+H50</f>
        <v/>
      </c>
      <c r="I51" s="32">
        <f>I43+I50</f>
        <v/>
      </c>
      <c r="J51" s="32">
        <f>J43+J50</f>
        <v/>
      </c>
      <c r="K51" s="32">
        <f>K43+K50</f>
        <v/>
      </c>
      <c r="L51" s="32">
        <f>L43+L50</f>
        <v/>
      </c>
      <c r="M51" s="32">
        <f>M43+M50</f>
        <v/>
      </c>
      <c r="N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</row>
    <row r="53">
      <c r="A53" s="23" t="inlineStr">
        <is>
          <t>КОНТРОЛЬНЫЕ ПОКАЗАТЕЛИ</t>
        </is>
      </c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</row>
    <row r="54">
      <c r="A54" s="24" t="inlineStr">
        <is>
          <t>Точка безубыточности: выручка в месяц, ₸</t>
        </is>
      </c>
      <c r="B54" s="34">
        <f>($B$10+$B$11*(1+$B$12)+$B$13+$B$15)/(1-$B$9-$B$14-$B$16)</f>
        <v/>
      </c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</row>
    <row r="55">
      <c r="A55" s="24" t="inlineStr">
        <is>
          <t>Точка безубыточности: чеков в день</t>
        </is>
      </c>
      <c r="B55" s="35">
        <f>B54/$B$5/$B$8</f>
        <v/>
      </c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</row>
    <row r="56">
      <c r="A56" s="24" t="inlineStr">
        <is>
          <t>Запас прочности в месяце 12, %</t>
        </is>
      </c>
      <c r="B56" s="36">
        <f>IF(M25=0,0,(M25-B54)/M25)</f>
        <v/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</row>
    <row r="57">
      <c r="A57" s="24" t="inlineStr">
        <is>
          <t>Минимальный остаток на счёте за год, ₸</t>
        </is>
      </c>
      <c r="B57" s="34">
        <f>MIN(B51:M51)</f>
        <v/>
      </c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</row>
    <row r="58">
      <c r="A58" s="24" t="inlineStr">
        <is>
          <t>Первый прибыльный месяц</t>
        </is>
      </c>
      <c r="B58" s="37">
        <f>IFERROR("Мес "&amp;MATCH(TRUE,INDEX(B39:M39&gt;0,0),0),"за 12 мес. не достигнут")</f>
        <v/>
      </c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</row>
    <row r="59">
      <c r="A59" s="24" t="inlineStr">
        <is>
          <t>Стартовые инвестиции возвращены прибылью в месяце</t>
        </is>
      </c>
      <c r="B59" s="37">
        <f>IFERROR("Мес "&amp;MATCH(TRUE,INDEX(B40:M40&gt;=$B$17,0),0),"за 12 мес. не окупаются")</f>
        <v/>
      </c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</row>
    <row r="60">
      <c r="A60" s="24" t="inlineStr">
        <is>
          <t>Чистая прибыль за год, ₸</t>
        </is>
      </c>
      <c r="B60" s="34">
        <f>N39</f>
        <v/>
      </c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</row>
    <row r="61">
      <c r="A61" s="24" t="inlineStr">
        <is>
          <t>Рентабельность по чистой прибыли за год, %</t>
        </is>
      </c>
      <c r="B61" s="36">
        <f>IF(N25=0,0,N39/N25)</f>
        <v/>
      </c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</row>
    <row r="63">
      <c r="A63" s="38" t="inlineStr">
        <is>
          <t>Пример из витрины. Все цифры условные и не относятся к какому-либо действующему бизнесу.</t>
        </is>
      </c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939F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2026-09-05T16:45:11Z</dcterms:created>
  <dcterms:modified xmlns:dcterms="http://purl.org/dc/terms/" xmlns:xsi="http://www.w3.org/2001/XMLSchema-instance" xsi:type="dcterms:W3CDTF">2026-09-05T16:46:36Z</dcterms:modified>
</cp:coreProperties>
</file>
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939F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эшборд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Вводные" sheetId="3" state="visible" r:id="rId3"/>
    <sheet xmlns:r="http://schemas.openxmlformats.org/officeDocument/2006/relationships" name="Модель" sheetId="4" state="visible" r:id="rId4"/>
    <sheet xmlns:r="http://schemas.openxmlformats.org/officeDocument/2006/relationships" name="_График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,,\ &quot;млн&quot;"/>
  </numFmts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1"/>
    </font>
    <font>
      <b val="1"/>
      <sz val="10"/>
    </font>
    <font>
      <sz val="10"/>
    </font>
    <font>
      <i val="1"/>
      <color rgb="00667085"/>
      <sz val="9"/>
    </font>
    <font>
      <b val="1"/>
      <color rgb="00FFFFFF"/>
      <sz val="16"/>
    </font>
    <font>
      <color rgb="00667085"/>
      <sz val="9"/>
    </font>
    <font>
      <b val="1"/>
      <color rgb="001F3864"/>
      <sz val="1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F2F4F7"/>
      </patternFill>
    </fill>
    <fill>
      <patternFill patternType="solid">
        <fgColor rgb="00FFF6E5"/>
      </patternFill>
    </fill>
    <fill>
      <patternFill patternType="solid">
        <fgColor rgb="00EAF1F8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4" fillId="4" borderId="0" pivotButton="0" quotePrefix="0" xfId="0"/>
    <xf numFmtId="0" fontId="4" fillId="4" borderId="1" applyAlignment="1" pivotButton="0" quotePrefix="0" xfId="0">
      <alignment horizontal="center"/>
    </xf>
    <xf numFmtId="0" fontId="4" fillId="0" borderId="0" applyAlignment="1" pivotButton="0" quotePrefix="0" xfId="0">
      <alignment indent="1"/>
    </xf>
    <xf numFmtId="3" fontId="4" fillId="0" borderId="1" pivotButton="0" quotePrefix="0" xfId="0"/>
    <xf numFmtId="0" fontId="5" fillId="0" borderId="0" applyAlignment="1" pivotButton="0" quotePrefix="0" xfId="0">
      <alignment indent="1"/>
    </xf>
    <xf numFmtId="3" fontId="5" fillId="0" borderId="1" pivotButton="0" quotePrefix="0" xfId="0"/>
    <xf numFmtId="0" fontId="3" fillId="3" borderId="0" pivotButton="0" quotePrefix="0" xfId="0"/>
    <xf numFmtId="0" fontId="0" fillId="3" borderId="0" pivotButton="0" quotePrefix="0" xfId="0"/>
    <xf numFmtId="164" fontId="4" fillId="4" borderId="1" pivotButton="0" quotePrefix="0" xfId="0"/>
    <xf numFmtId="3" fontId="4" fillId="4" borderId="1" pivotButton="0" quotePrefix="0" xfId="0"/>
    <xf numFmtId="49" fontId="4" fillId="4" borderId="1" pivotButton="0" quotePrefix="0" xfId="0"/>
    <xf numFmtId="0" fontId="6" fillId="0" borderId="0" pivotButton="0" quotePrefix="0" xfId="0"/>
    <xf numFmtId="0" fontId="4" fillId="4" borderId="1" pivotButton="0" quotePrefix="0" xfId="0"/>
    <xf numFmtId="3" fontId="4" fillId="5" borderId="1" pivotButton="0" quotePrefix="0" xfId="0"/>
    <xf numFmtId="164" fontId="4" fillId="5" borderId="1" pivotButton="0" quotePrefix="0" xfId="0"/>
    <xf numFmtId="9" fontId="4" fillId="5" borderId="1" pivotButton="0" quotePrefix="0" xfId="0"/>
    <xf numFmtId="0" fontId="4" fillId="0" borderId="0" pivotButton="0" quotePrefix="0" xfId="0"/>
    <xf numFmtId="164" fontId="5" fillId="0" borderId="1" pivotButton="0" quotePrefix="0" xfId="0"/>
    <xf numFmtId="0" fontId="7" fillId="2" borderId="0" applyAlignment="1" pivotButton="0" quotePrefix="0" xfId="0">
      <alignment vertical="center" indent="1"/>
    </xf>
    <xf numFmtId="0" fontId="8" fillId="6" borderId="1" applyAlignment="1" pivotButton="0" quotePrefix="0" xfId="0">
      <alignment horizontal="center"/>
    </xf>
    <xf numFmtId="0" fontId="0" fillId="6" borderId="1" pivotButton="0" quotePrefix="0" xfId="0"/>
    <xf numFmtId="165" fontId="9" fillId="6" borderId="1" applyAlignment="1" pivotButton="0" quotePrefix="0" xfId="0">
      <alignment horizontal="center"/>
    </xf>
    <xf numFmtId="164" fontId="9" fillId="6" borderId="1" applyAlignment="1" pivotButton="0" quotePrefix="0" xfId="0">
      <alignment horizontal="center"/>
    </xf>
    <xf numFmtId="0" fontId="7" fillId="2" borderId="0" applyAlignment="1" applyProtection="1" pivotButton="0" quotePrefix="0" xfId="0">
      <alignment vertical="center" indent="1"/>
      <protection locked="1" hidden="1"/>
    </xf>
    <xf numFmtId="0" fontId="0" fillId="0" borderId="0" applyProtection="1" pivotButton="0" quotePrefix="0" xfId="0">
      <protection locked="1" hidden="1"/>
    </xf>
    <xf numFmtId="0" fontId="2" fillId="2" borderId="0" applyAlignment="1" applyProtection="1" pivotButton="0" quotePrefix="0" xfId="0">
      <alignment vertical="center" indent="1"/>
      <protection locked="1" hidden="1"/>
    </xf>
    <xf numFmtId="0" fontId="8" fillId="6" borderId="1" applyAlignment="1" applyProtection="1" pivotButton="0" quotePrefix="0" xfId="0">
      <alignment horizontal="center"/>
      <protection locked="1" hidden="1"/>
    </xf>
    <xf numFmtId="0" fontId="0" fillId="0" borderId="4" applyProtection="1" pivotButton="0" quotePrefix="0" xfId="0">
      <protection locked="1" hidden="1"/>
    </xf>
    <xf numFmtId="165" fontId="9" fillId="6" borderId="1" applyAlignment="1" applyProtection="1" pivotButton="0" quotePrefix="0" xfId="0">
      <alignment horizontal="center"/>
      <protection locked="1" hidden="1"/>
    </xf>
    <xf numFmtId="164" fontId="9" fillId="6" borderId="1" applyAlignment="1" applyProtection="1" pivotButton="0" quotePrefix="0" xfId="0">
      <alignment horizontal="center"/>
      <protection locked="1" hidden="1"/>
    </xf>
    <xf numFmtId="0" fontId="6" fillId="0" borderId="0" applyProtection="1" pivotButton="0" quotePrefix="0" xfId="0">
      <protection locked="1" hidden="1"/>
    </xf>
    <xf numFmtId="0" fontId="1" fillId="2" borderId="0" applyAlignment="1" applyProtection="1" pivotButton="0" quotePrefix="0" xfId="0">
      <alignment vertical="center" indent="1"/>
      <protection locked="1" hidden="1"/>
    </xf>
    <xf numFmtId="0" fontId="4" fillId="4" borderId="0" applyProtection="1" pivotButton="0" quotePrefix="0" xfId="0">
      <protection locked="1" hidden="1"/>
    </xf>
    <xf numFmtId="0" fontId="4" fillId="4" borderId="1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indent="1"/>
      <protection locked="1" hidden="1"/>
    </xf>
    <xf numFmtId="3" fontId="4" fillId="0" borderId="1" applyProtection="1" pivotButton="0" quotePrefix="0" xfId="0">
      <protection locked="1" hidden="1"/>
    </xf>
    <xf numFmtId="0" fontId="5" fillId="0" borderId="0" applyAlignment="1" applyProtection="1" pivotButton="0" quotePrefix="0" xfId="0">
      <alignment indent="1"/>
      <protection locked="1" hidden="1"/>
    </xf>
    <xf numFmtId="3" fontId="5" fillId="0" borderId="1" applyProtection="1" pivotButton="0" quotePrefix="0" xfId="0">
      <protection locked="1" hidden="1"/>
    </xf>
    <xf numFmtId="0" fontId="3" fillId="3" borderId="0" applyProtection="1" pivotButton="0" quotePrefix="0" xfId="0">
      <protection locked="1" hidden="1"/>
    </xf>
    <xf numFmtId="0" fontId="0" fillId="3" borderId="0" applyProtection="1" pivotButton="0" quotePrefix="0" xfId="0">
      <protection locked="1" hidden="1"/>
    </xf>
    <xf numFmtId="164" fontId="4" fillId="4" borderId="1" applyProtection="1" pivotButton="0" quotePrefix="0" xfId="0">
      <protection locked="1" hidden="1"/>
    </xf>
    <xf numFmtId="3" fontId="4" fillId="4" borderId="1" applyProtection="1" pivotButton="0" quotePrefix="0" xfId="0">
      <protection locked="1" hidden="1"/>
    </xf>
    <xf numFmtId="49" fontId="4" fillId="4" borderId="1" applyProtection="1" pivotButton="0" quotePrefix="0" xfId="0">
      <protection locked="1" hidden="1"/>
    </xf>
    <xf numFmtId="0" fontId="4" fillId="4" borderId="1" applyProtection="1" pivotButton="0" quotePrefix="0" xfId="0">
      <protection locked="1" hidden="1"/>
    </xf>
    <xf numFmtId="3" fontId="4" fillId="5" borderId="1" applyProtection="1" pivotButton="0" quotePrefix="0" xfId="0">
      <protection locked="0" hidden="0"/>
    </xf>
    <xf numFmtId="164" fontId="4" fillId="5" borderId="1" applyProtection="1" pivotButton="0" quotePrefix="0" xfId="0">
      <protection locked="0" hidden="0"/>
    </xf>
    <xf numFmtId="9" fontId="4" fillId="5" borderId="1" applyProtection="1" pivotButton="0" quotePrefix="0" xfId="0">
      <protection locked="0" hidden="0"/>
    </xf>
    <xf numFmtId="0" fontId="4" fillId="0" borderId="0" applyProtection="1" pivotButton="0" quotePrefix="0" xfId="0">
      <protection locked="1" hidden="1"/>
    </xf>
    <xf numFmtId="164" fontId="5" fillId="0" borderId="1" applyProtection="1" pivotButton="0" quotePrefix="0" xfId="0">
      <protection locked="1" hidden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и маржинальная прибыль по месяцам, ₸</a:t>
            </a:r>
          </a:p>
        </rich>
      </tx>
    </title>
    <plotArea>
      <lineChart>
        <grouping val="standard"/>
        <ser>
          <idx val="0"/>
          <order val="0"/>
          <tx>
            <strRef>
              <f>'_График'!A2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'_График'!$B$1:$AK$1</f>
            </numRef>
          </cat>
          <val>
            <numRef>
              <f>'_График'!$B$2:$AK$2</f>
            </numRef>
          </val>
        </ser>
        <ser>
          <idx val="1"/>
          <order val="1"/>
          <tx>
            <strRef>
              <f>'_График'!A5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'_График'!$B$1:$AK$1</f>
            </numRef>
          </cat>
          <val>
            <numRef>
              <f>'_График'!$B$5:$AK$5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по месяцам, 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'_График'!A3</f>
            </strRef>
          </tx>
          <spPr>
            <a:ln xmlns:a="http://schemas.openxmlformats.org/drawingml/2006/main">
              <a:prstDash val="solid"/>
            </a:ln>
          </spPr>
          <cat>
            <numRef>
              <f>'_График'!$B$1:$AK$1</f>
            </numRef>
          </cat>
          <val>
            <numRef>
              <f>'_График'!$B$3:$AK$3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Остаток денежных средств, ₸</a:t>
            </a:r>
          </a:p>
        </rich>
      </tx>
    </title>
    <plotArea>
      <lineChart>
        <grouping val="standard"/>
        <ser>
          <idx val="0"/>
          <order val="0"/>
          <tx>
            <strRef>
              <f>'_График'!A4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'_График'!$B$1:$AK$1</f>
            </numRef>
          </cat>
          <val>
            <numRef>
              <f>'_График'!$B$4:$AK$4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Структура затрат за 3 года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'_График'!$A$10:$A$20</f>
            </numRef>
          </cat>
          <val>
            <numRef>
              <f>'_График'!$B$10:$B$20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Объёмы производства по продуктам, кг в месяц</a:t>
            </a:r>
          </a:p>
        </rich>
      </tx>
    </title>
    <plotArea>
      <lineChart>
        <grouping val="standard"/>
        <ser>
          <idx val="0"/>
          <order val="0"/>
          <tx>
            <strRef>
              <f>'_График'!A6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'_График'!$B$1:$AK$1</f>
            </numRef>
          </cat>
          <val>
            <numRef>
              <f>'_График'!$B$6:$AK$6</f>
            </numRef>
          </val>
        </ser>
        <ser>
          <idx val="1"/>
          <order val="1"/>
          <tx>
            <strRef>
              <f>'_График'!A7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'_График'!$B$1:$AK$1</f>
            </numRef>
          </cat>
          <val>
            <numRef>
              <f>'_График'!$B$7:$AK$7</f>
            </numRef>
          </val>
        </ser>
        <ser>
          <idx val="2"/>
          <order val="2"/>
          <tx>
            <strRef>
              <f>'_График'!A8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'_График'!$B$1:$AK$1</f>
            </numRef>
          </cat>
          <val>
            <numRef>
              <f>'_График'!$B$8:$AK$8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1188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4" customHeight="1">
      <c r="A1" s="27" t="inlineStr">
        <is>
          <t>ЦЕХ ПОЛУФАБРИКАТОВ — ДЭШБОРД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>
      <c r="A2" s="29" t="inlineStr">
        <is>
          <t>Операционный уровень · 36 месяцев · выручка из объёмов и цен, себестоимость из рецептуры и штатного расписания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</row>
    <row r="4">
      <c r="A4" s="30" t="inlineStr">
        <is>
          <t>Выручка за 3 года</t>
        </is>
      </c>
      <c r="B4" s="31" t="n"/>
      <c r="C4" s="30" t="inlineStr">
        <is>
          <t>EBITDA за 3 года</t>
        </is>
      </c>
      <c r="D4" s="31" t="n"/>
      <c r="E4" s="30" t="inlineStr">
        <is>
          <t>Рентабельность по EBITDA, год 3</t>
        </is>
      </c>
      <c r="F4" s="31" t="n"/>
      <c r="G4" s="30" t="inlineStr">
        <is>
          <t>Чистая прибыль, год 3</t>
        </is>
      </c>
      <c r="H4" s="31" t="n"/>
      <c r="I4" s="30" t="inlineStr">
        <is>
          <t>Минимальный остаток</t>
        </is>
      </c>
      <c r="J4" s="31" t="n"/>
      <c r="K4" s="30" t="inlineStr">
        <is>
          <t>Остаток на конец</t>
        </is>
      </c>
      <c r="L4" s="31" t="n"/>
    </row>
    <row r="5" ht="30" customHeight="1">
      <c r="A5" s="32">
        <f>Модель!AL13</f>
        <v/>
      </c>
      <c r="B5" s="31" t="n"/>
      <c r="C5" s="32">
        <f>Модель!AL33</f>
        <v/>
      </c>
      <c r="D5" s="31" t="n"/>
      <c r="E5" s="33">
        <f>Сводка!D9/Сводка!D5</f>
        <v/>
      </c>
      <c r="F5" s="31" t="n"/>
      <c r="G5" s="32">
        <f>Сводка!D13</f>
        <v/>
      </c>
      <c r="H5" s="31" t="n"/>
      <c r="I5" s="32">
        <f>Сводка!B21</f>
        <v/>
      </c>
      <c r="J5" s="31" t="n"/>
      <c r="K5" s="32">
        <f>Сводка!B22</f>
        <v/>
      </c>
      <c r="L5" s="31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</row>
    <row r="58">
      <c r="A58" s="34" t="inlineStr">
        <is>
          <t>Пример из витрины. Все цифры условные и не относятся к какому-либо действующему бизнесу.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14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K5:L5"/>
    <mergeCell ref="I5:J5"/>
    <mergeCell ref="A2:J2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35" t="inlineStr">
        <is>
          <t>ЦЕХ ПОЛУФАБРИКАТОВ — СВОДКА</t>
        </is>
      </c>
      <c r="B1" s="28" t="n"/>
      <c r="C1" s="28" t="n"/>
      <c r="D1" s="28" t="n"/>
      <c r="E1" s="28" t="n"/>
    </row>
    <row r="2">
      <c r="A2" s="29" t="inlineStr">
        <is>
          <t>Итоги по годам и контрольные показатели</t>
        </is>
      </c>
      <c r="B2" s="28" t="n"/>
      <c r="C2" s="28" t="n"/>
      <c r="D2" s="28" t="n"/>
      <c r="E2" s="28" t="n"/>
    </row>
    <row r="3">
      <c r="A3" s="28" t="n"/>
      <c r="B3" s="28" t="n"/>
      <c r="C3" s="28" t="n"/>
      <c r="D3" s="28" t="n"/>
      <c r="E3" s="28" t="n"/>
    </row>
    <row r="4">
      <c r="A4" s="36" t="inlineStr">
        <is>
          <t>ПОКАЗАТЕЛЬ</t>
        </is>
      </c>
      <c r="B4" s="37" t="inlineStr">
        <is>
          <t>Год 1</t>
        </is>
      </c>
      <c r="C4" s="37" t="inlineStr">
        <is>
          <t>Год 2</t>
        </is>
      </c>
      <c r="D4" s="37" t="inlineStr">
        <is>
          <t>Год 3</t>
        </is>
      </c>
      <c r="E4" s="28" t="n"/>
    </row>
    <row r="5">
      <c r="A5" s="38" t="inlineStr">
        <is>
          <t>Выручка</t>
        </is>
      </c>
      <c r="B5" s="39">
        <f>SUM(Модель!B13:M13)</f>
        <v/>
      </c>
      <c r="C5" s="39">
        <f>SUM(Модель!N13:Y13)</f>
        <v/>
      </c>
      <c r="D5" s="39">
        <f>SUM(Модель!Z13:AK13)</f>
        <v/>
      </c>
      <c r="E5" s="28" t="n"/>
    </row>
    <row r="6">
      <c r="A6" s="40" t="inlineStr">
        <is>
          <t>Переменные затраты</t>
        </is>
      </c>
      <c r="B6" s="41">
        <f>SUM(Модель!B20:M20)</f>
        <v/>
      </c>
      <c r="C6" s="41">
        <f>SUM(Модель!N20:Y20)</f>
        <v/>
      </c>
      <c r="D6" s="41">
        <f>SUM(Модель!Z20:AK20)</f>
        <v/>
      </c>
      <c r="E6" s="28" t="n"/>
    </row>
    <row r="7">
      <c r="A7" s="40" t="inlineStr">
        <is>
          <t>Маржинальная прибыль</t>
        </is>
      </c>
      <c r="B7" s="41">
        <f>SUM(Модель!B21:M21)</f>
        <v/>
      </c>
      <c r="C7" s="41">
        <f>SUM(Модель!N21:Y21)</f>
        <v/>
      </c>
      <c r="D7" s="41">
        <f>SUM(Модель!Z21:AK21)</f>
        <v/>
      </c>
      <c r="E7" s="28" t="n"/>
    </row>
    <row r="8">
      <c r="A8" s="40" t="inlineStr">
        <is>
          <t>Постоянные расходы</t>
        </is>
      </c>
      <c r="B8" s="41">
        <f>SUM(Модель!B32:M32)</f>
        <v/>
      </c>
      <c r="C8" s="41">
        <f>SUM(Модель!N32:Y32)</f>
        <v/>
      </c>
      <c r="D8" s="41">
        <f>SUM(Модель!Z32:AK32)</f>
        <v/>
      </c>
      <c r="E8" s="28" t="n"/>
    </row>
    <row r="9">
      <c r="A9" s="38" t="inlineStr">
        <is>
          <t>EBITDA</t>
        </is>
      </c>
      <c r="B9" s="39">
        <f>SUM(Модель!B33:M33)</f>
        <v/>
      </c>
      <c r="C9" s="39">
        <f>SUM(Модель!N33:Y33)</f>
        <v/>
      </c>
      <c r="D9" s="39">
        <f>SUM(Модель!Z33:AK33)</f>
        <v/>
      </c>
      <c r="E9" s="28" t="n"/>
    </row>
    <row r="10">
      <c r="A10" s="40" t="inlineStr">
        <is>
          <t>Амортизация</t>
        </is>
      </c>
      <c r="B10" s="41">
        <f>SUM(Модель!B36:M36)</f>
        <v/>
      </c>
      <c r="C10" s="41">
        <f>SUM(Модель!N36:Y36)</f>
        <v/>
      </c>
      <c r="D10" s="41">
        <f>SUM(Модель!Z36:AK36)</f>
        <v/>
      </c>
      <c r="E10" s="28" t="n"/>
    </row>
    <row r="11">
      <c r="A11" s="40" t="inlineStr">
        <is>
          <t>Проценты по кредиту</t>
        </is>
      </c>
      <c r="B11" s="41">
        <f>SUM(Модель!B37:M37)</f>
        <v/>
      </c>
      <c r="C11" s="41">
        <f>SUM(Модель!N37:Y37)</f>
        <v/>
      </c>
      <c r="D11" s="41">
        <f>SUM(Модель!Z37:AK37)</f>
        <v/>
      </c>
      <c r="E11" s="28" t="n"/>
    </row>
    <row r="12">
      <c r="A12" s="40" t="inlineStr">
        <is>
          <t>Корпоративный подоходный налог</t>
        </is>
      </c>
      <c r="B12" s="41">
        <f>SUM(Модель!B39:M39)</f>
        <v/>
      </c>
      <c r="C12" s="41">
        <f>SUM(Модель!N39:Y39)</f>
        <v/>
      </c>
      <c r="D12" s="41">
        <f>SUM(Модель!Z39:AK39)</f>
        <v/>
      </c>
      <c r="E12" s="28" t="n"/>
    </row>
    <row r="13">
      <c r="A13" s="38" t="inlineStr">
        <is>
          <t>Чистая прибыль</t>
        </is>
      </c>
      <c r="B13" s="39">
        <f>SUM(Модель!B40:M40)</f>
        <v/>
      </c>
      <c r="C13" s="39">
        <f>SUM(Модель!N40:Y40)</f>
        <v/>
      </c>
      <c r="D13" s="39">
        <f>SUM(Модель!Z40:AK40)</f>
        <v/>
      </c>
      <c r="E13" s="28" t="n"/>
    </row>
    <row r="14">
      <c r="A14" s="28" t="n"/>
      <c r="B14" s="28" t="n"/>
      <c r="C14" s="28" t="n"/>
      <c r="D14" s="28" t="n"/>
      <c r="E14" s="28" t="n"/>
    </row>
    <row r="15">
      <c r="A15" s="42" t="inlineStr">
        <is>
          <t>КОНТРОЛЬНЫЕ ПОКАЗАТЕЛИ</t>
        </is>
      </c>
      <c r="B15" s="43" t="n"/>
      <c r="C15" s="43" t="n"/>
      <c r="D15" s="43" t="n"/>
      <c r="E15" s="43" t="n"/>
    </row>
    <row r="16">
      <c r="A16" s="40" t="inlineStr">
        <is>
          <t>Рентабельность по EBITDA, %</t>
        </is>
      </c>
      <c r="B16" s="44">
        <f>IF(B5=0,0,B9/B5)</f>
        <v/>
      </c>
      <c r="C16" s="44">
        <f>IF(B5=0,0,C9/C5)</f>
        <v/>
      </c>
      <c r="D16" s="44">
        <f>IF(B5=0,0,D9/D5)</f>
        <v/>
      </c>
      <c r="E16" s="28" t="n"/>
    </row>
    <row r="17">
      <c r="A17" s="40" t="inlineStr">
        <is>
          <t>Рентабельность по чистой прибыли, %</t>
        </is>
      </c>
      <c r="B17" s="44">
        <f>IF(B5=0,0,B13/B5)</f>
        <v/>
      </c>
      <c r="C17" s="44">
        <f>IF(C5=0,0,C13/C5)</f>
        <v/>
      </c>
      <c r="D17" s="44">
        <f>IF(D5=0,0,D13/D5)</f>
        <v/>
      </c>
      <c r="E17" s="28" t="n"/>
    </row>
    <row r="18">
      <c r="A18" s="40" t="inlineStr">
        <is>
          <t>Точка безубыточности, выручка в год</t>
        </is>
      </c>
      <c r="B18" s="45">
        <f>IF(B7=0,0,-B8/(B7/B5))</f>
        <v/>
      </c>
      <c r="C18" s="45">
        <f>IF(C7=0,0,-C8/(C7/C5))</f>
        <v/>
      </c>
      <c r="D18" s="45">
        <f>IF(D7=0,0,-D8/(D7/D5))</f>
        <v/>
      </c>
      <c r="E18" s="28" t="n"/>
    </row>
    <row r="19">
      <c r="A19" s="40" t="inlineStr">
        <is>
          <t>Запас прочности, %</t>
        </is>
      </c>
      <c r="B19" s="44">
        <f>IF(B5=0,0,(B5-B18)/B5)</f>
        <v/>
      </c>
      <c r="C19" s="44">
        <f>IF(C5=0,0,(C5-C18)/C5)</f>
        <v/>
      </c>
      <c r="D19" s="44">
        <f>IF(D5=0,0,(D5-D18)/D5)</f>
        <v/>
      </c>
      <c r="E19" s="28" t="n"/>
    </row>
    <row r="20">
      <c r="A20" s="28" t="n"/>
      <c r="B20" s="28" t="n"/>
      <c r="C20" s="28" t="n"/>
      <c r="D20" s="28" t="n"/>
      <c r="E20" s="28" t="n"/>
    </row>
    <row r="21">
      <c r="A21" s="40" t="inlineStr">
        <is>
          <t>Минимальный остаток на счёте за 3 года, ₸</t>
        </is>
      </c>
      <c r="B21" s="45">
        <f>MIN(Модель!B55:Модель!AK55)</f>
        <v/>
      </c>
      <c r="C21" s="28" t="n"/>
      <c r="D21" s="28" t="n"/>
      <c r="E21" s="28" t="n"/>
    </row>
    <row r="22">
      <c r="A22" s="40" t="inlineStr">
        <is>
          <t>Остаток на счёте на конец 3 года, ₸</t>
        </is>
      </c>
      <c r="B22" s="45">
        <f>Модель!AK55</f>
        <v/>
      </c>
      <c r="C22" s="28" t="n"/>
      <c r="D22" s="28" t="n"/>
      <c r="E22" s="28" t="n"/>
    </row>
    <row r="23">
      <c r="A23" s="40" t="inlineStr">
        <is>
          <t>Первый месяц с положительной EBITDA</t>
        </is>
      </c>
      <c r="B23" s="46">
        <f>IF(SUMPRODUCT(--(Модель!B33:AK33&lt;=0))=36,"не достигнут","М "&amp;(SUMPRODUCT(--(Модель!B33:AK33&lt;=0))+1))</f>
        <v/>
      </c>
      <c r="C23" s="28" t="n"/>
      <c r="D23" s="28" t="n"/>
      <c r="E23" s="28" t="n"/>
    </row>
    <row r="24">
      <c r="A24" s="40" t="inlineStr">
        <is>
          <t>Накопленная чистая прибыль за 3 года, ₸</t>
        </is>
      </c>
      <c r="B24" s="45">
        <f>Модель!AL40</f>
        <v/>
      </c>
      <c r="C24" s="28" t="n"/>
      <c r="D24" s="28" t="n"/>
      <c r="E24" s="28" t="n"/>
    </row>
    <row r="25">
      <c r="A25" s="28" t="n"/>
      <c r="B25" s="28" t="n"/>
      <c r="C25" s="28" t="n"/>
      <c r="D25" s="28" t="n"/>
      <c r="E25" s="28" t="n"/>
    </row>
    <row r="26">
      <c r="A26" s="34" t="inlineStr">
        <is>
          <t>Пример из витрины. Все цифры условные и не относятся к какому-либо действующему бизнесу.</t>
        </is>
      </c>
      <c r="B26" s="28" t="n"/>
      <c r="C26" s="28" t="n"/>
      <c r="D26" s="28" t="n"/>
      <c r="E26" s="2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6" customWidth="1" min="4" max="4"/>
    <col width="16" customWidth="1" min="5" max="5"/>
    <col width="20" customWidth="1" min="6" max="6"/>
  </cols>
  <sheetData>
    <row r="1" ht="30" customHeight="1">
      <c r="A1" s="35" t="inlineStr">
        <is>
          <t>ЦЕХ ПОЛУФАБРИКАТОВ — ВВОДНЫЕ</t>
        </is>
      </c>
      <c r="B1" s="28" t="n"/>
      <c r="C1" s="28" t="n"/>
      <c r="D1" s="28" t="n"/>
      <c r="E1" s="28" t="n"/>
      <c r="F1" s="28" t="n"/>
    </row>
    <row r="2">
      <c r="A2" s="29" t="inlineStr">
        <is>
          <t>Операционный уровень · все параметры модели собраны здесь · данные синтетические</t>
        </is>
      </c>
      <c r="B2" s="28" t="n"/>
      <c r="C2" s="28" t="n"/>
      <c r="D2" s="28" t="n"/>
      <c r="E2" s="28" t="n"/>
      <c r="F2" s="28" t="n"/>
    </row>
    <row r="3">
      <c r="A3" s="28" t="n"/>
      <c r="B3" s="28" t="n"/>
      <c r="C3" s="28" t="n"/>
      <c r="D3" s="28" t="n"/>
      <c r="E3" s="28" t="n"/>
      <c r="F3" s="28" t="n"/>
    </row>
    <row r="4">
      <c r="A4" s="42" t="inlineStr">
        <is>
          <t>ПРОДУКТОВАЯ ЛИНЕЙКА</t>
        </is>
      </c>
      <c r="B4" s="43" t="n"/>
      <c r="C4" s="43" t="n"/>
      <c r="D4" s="43" t="n"/>
      <c r="E4" s="43" t="n"/>
      <c r="F4" s="43" t="n"/>
    </row>
    <row r="5">
      <c r="A5" s="47" t="inlineStr">
        <is>
          <t>Продукт</t>
        </is>
      </c>
      <c r="B5" s="47" t="inlineStr">
        <is>
          <t>Цена, ₸/кг</t>
        </is>
      </c>
      <c r="C5" s="47" t="inlineStr">
        <is>
          <t>Объём, кг/мес</t>
        </is>
      </c>
      <c r="D5" s="47" t="inlineStr">
        <is>
          <t>Сырьё, ₸/кг</t>
        </is>
      </c>
      <c r="E5" s="47" t="inlineStr">
        <is>
          <t>Упаковка, ₸/кг</t>
        </is>
      </c>
      <c r="F5" s="47" t="inlineStr">
        <is>
          <t>Прирост объёма, %/мес</t>
        </is>
      </c>
    </row>
    <row r="6">
      <c r="A6" s="40" t="inlineStr">
        <is>
          <t>Пельмени</t>
        </is>
      </c>
      <c r="B6" s="48" t="n">
        <v>2450</v>
      </c>
      <c r="C6" s="48" t="n">
        <v>9000</v>
      </c>
      <c r="D6" s="48" t="n">
        <v>1650</v>
      </c>
      <c r="E6" s="48" t="n">
        <v>85</v>
      </c>
      <c r="F6" s="49" t="n">
        <v>0.025</v>
      </c>
    </row>
    <row r="7">
      <c r="A7" s="40" t="inlineStr">
        <is>
          <t>Котлеты</t>
        </is>
      </c>
      <c r="B7" s="48" t="n">
        <v>2150</v>
      </c>
      <c r="C7" s="48" t="n">
        <v>5500</v>
      </c>
      <c r="D7" s="48" t="n">
        <v>1450</v>
      </c>
      <c r="E7" s="48" t="n">
        <v>85</v>
      </c>
      <c r="F7" s="49" t="n">
        <v>0.02</v>
      </c>
    </row>
    <row r="8">
      <c r="A8" s="40" t="inlineStr">
        <is>
          <t>Вареники</t>
        </is>
      </c>
      <c r="B8" s="48" t="n">
        <v>1750</v>
      </c>
      <c r="C8" s="48" t="n">
        <v>3500</v>
      </c>
      <c r="D8" s="48" t="n">
        <v>1150</v>
      </c>
      <c r="E8" s="48" t="n">
        <v>85</v>
      </c>
      <c r="F8" s="49" t="n">
        <v>0.03</v>
      </c>
    </row>
    <row r="9">
      <c r="A9" s="28" t="n"/>
      <c r="B9" s="28" t="n"/>
      <c r="C9" s="28" t="n"/>
      <c r="D9" s="28" t="n"/>
      <c r="E9" s="28" t="n"/>
      <c r="F9" s="28" t="n"/>
    </row>
    <row r="10">
      <c r="A10" s="42" t="inlineStr">
        <is>
          <t>ПРОИЗВОДСТВО</t>
        </is>
      </c>
      <c r="B10" s="43" t="n"/>
      <c r="C10" s="43" t="n"/>
      <c r="D10" s="43" t="n"/>
      <c r="E10" s="43" t="n"/>
      <c r="F10" s="43" t="n"/>
    </row>
    <row r="11">
      <c r="A11" s="40" t="inlineStr">
        <is>
          <t>Технологические потери, % от сырья</t>
        </is>
      </c>
      <c r="B11" s="50" t="n">
        <v>0.03</v>
      </c>
      <c r="C11" s="34" t="inlineStr">
        <is>
          <t>брак, зачистка, усушка</t>
        </is>
      </c>
      <c r="D11" s="28" t="n"/>
      <c r="E11" s="28" t="n"/>
      <c r="F11" s="28" t="n"/>
    </row>
    <row r="12">
      <c r="A12" s="40" t="inlineStr">
        <is>
          <t>Логистика и доставка, ₸/кг</t>
        </is>
      </c>
      <c r="B12" s="48" t="n">
        <v>45</v>
      </c>
      <c r="C12" s="34" t="inlineStr">
        <is>
          <t>переменная на объём</t>
        </is>
      </c>
      <c r="D12" s="28" t="n"/>
      <c r="E12" s="28" t="n"/>
      <c r="F12" s="28" t="n"/>
    </row>
    <row r="13">
      <c r="A13" s="40" t="inlineStr">
        <is>
          <t>Маркетинг и продвижение, % от выручки</t>
        </is>
      </c>
      <c r="B13" s="50" t="n">
        <v>0.02</v>
      </c>
      <c r="C13" s="28" t="n"/>
      <c r="D13" s="28" t="n"/>
      <c r="E13" s="28" t="n"/>
      <c r="F13" s="28" t="n"/>
    </row>
    <row r="14">
      <c r="A14" s="28" t="n"/>
      <c r="B14" s="28" t="n"/>
      <c r="C14" s="28" t="n"/>
      <c r="D14" s="28" t="n"/>
      <c r="E14" s="28" t="n"/>
      <c r="F14" s="28" t="n"/>
    </row>
    <row r="15">
      <c r="A15" s="42" t="inlineStr">
        <is>
          <t>ШТАТНОЕ РАСПИСАНИЕ  ·  оклады на руки</t>
        </is>
      </c>
      <c r="B15" s="43" t="n"/>
      <c r="C15" s="43" t="n"/>
      <c r="D15" s="43" t="n"/>
      <c r="E15" s="43" t="n"/>
      <c r="F15" s="43" t="n"/>
    </row>
    <row r="16">
      <c r="A16" s="47" t="inlineStr">
        <is>
          <t>Должность</t>
        </is>
      </c>
      <c r="B16" s="47" t="inlineStr">
        <is>
          <t>Человек</t>
        </is>
      </c>
      <c r="C16" s="47" t="inlineStr">
        <is>
          <t>Оклад, ₸/мес</t>
        </is>
      </c>
      <c r="D16" s="47" t="inlineStr">
        <is>
          <t>Фонд, ₸/мес</t>
        </is>
      </c>
      <c r="E16" s="28" t="n"/>
      <c r="F16" s="28" t="n"/>
    </row>
    <row r="17">
      <c r="A17" s="40" t="inlineStr">
        <is>
          <t>Технолог</t>
        </is>
      </c>
      <c r="B17" s="48" t="n">
        <v>1</v>
      </c>
      <c r="C17" s="48" t="n">
        <v>450000</v>
      </c>
      <c r="D17" s="41">
        <f>B17*C17</f>
        <v/>
      </c>
      <c r="E17" s="34" t="inlineStr">
        <is>
          <t>производство</t>
        </is>
      </c>
      <c r="F17" s="28" t="n"/>
    </row>
    <row r="18">
      <c r="A18" s="40" t="inlineStr">
        <is>
          <t>Мастер смены</t>
        </is>
      </c>
      <c r="B18" s="48" t="n">
        <v>2</v>
      </c>
      <c r="C18" s="48" t="n">
        <v>320000</v>
      </c>
      <c r="D18" s="41">
        <f>B18*C18</f>
        <v/>
      </c>
      <c r="E18" s="34" t="inlineStr">
        <is>
          <t>производство</t>
        </is>
      </c>
      <c r="F18" s="28" t="n"/>
    </row>
    <row r="19">
      <c r="A19" s="40" t="inlineStr">
        <is>
          <t>Рабочий цеха</t>
        </is>
      </c>
      <c r="B19" s="48" t="n">
        <v>8</v>
      </c>
      <c r="C19" s="48" t="n">
        <v>230000</v>
      </c>
      <c r="D19" s="41">
        <f>B19*C19</f>
        <v/>
      </c>
      <c r="E19" s="34" t="inlineStr">
        <is>
          <t>производство</t>
        </is>
      </c>
      <c r="F19" s="28" t="n"/>
    </row>
    <row r="20">
      <c r="A20" s="40" t="inlineStr">
        <is>
          <t>Кладовщик</t>
        </is>
      </c>
      <c r="B20" s="48" t="n">
        <v>1</v>
      </c>
      <c r="C20" s="48" t="n">
        <v>220000</v>
      </c>
      <c r="D20" s="41">
        <f>B20*C20</f>
        <v/>
      </c>
      <c r="E20" s="34" t="inlineStr">
        <is>
          <t>производство</t>
        </is>
      </c>
      <c r="F20" s="28" t="n"/>
    </row>
    <row r="21">
      <c r="A21" s="40" t="inlineStr">
        <is>
          <t>Водитель-экспедитор</t>
        </is>
      </c>
      <c r="B21" s="48" t="n">
        <v>2</v>
      </c>
      <c r="C21" s="48" t="n">
        <v>250000</v>
      </c>
      <c r="D21" s="41">
        <f>B21*C21</f>
        <v/>
      </c>
      <c r="E21" s="34" t="inlineStr">
        <is>
          <t>производство</t>
        </is>
      </c>
      <c r="F21" s="28" t="n"/>
    </row>
    <row r="22">
      <c r="A22" s="40" t="inlineStr">
        <is>
          <t>Директор</t>
        </is>
      </c>
      <c r="B22" s="48" t="n">
        <v>1</v>
      </c>
      <c r="C22" s="48" t="n">
        <v>700000</v>
      </c>
      <c r="D22" s="41">
        <f>B22*C22</f>
        <v/>
      </c>
      <c r="E22" s="34" t="inlineStr">
        <is>
          <t>административный</t>
        </is>
      </c>
      <c r="F22" s="28" t="n"/>
    </row>
    <row r="23">
      <c r="A23" s="40" t="inlineStr">
        <is>
          <t>Бухгалтер</t>
        </is>
      </c>
      <c r="B23" s="48" t="n">
        <v>1</v>
      </c>
      <c r="C23" s="48" t="n">
        <v>350000</v>
      </c>
      <c r="D23" s="41">
        <f>B23*C23</f>
        <v/>
      </c>
      <c r="E23" s="34" t="inlineStr">
        <is>
          <t>административный</t>
        </is>
      </c>
      <c r="F23" s="28" t="n"/>
    </row>
    <row r="24">
      <c r="A24" s="40" t="inlineStr">
        <is>
          <t>Менеджер по продажам</t>
        </is>
      </c>
      <c r="B24" s="48" t="n">
        <v>2</v>
      </c>
      <c r="C24" s="48" t="n">
        <v>300000</v>
      </c>
      <c r="D24" s="41">
        <f>B24*C24</f>
        <v/>
      </c>
      <c r="E24" s="34" t="inlineStr">
        <is>
          <t>административный</t>
        </is>
      </c>
      <c r="F24" s="28" t="n"/>
    </row>
    <row r="25">
      <c r="A25" s="51" t="inlineStr">
        <is>
          <t>Фонд производственного персонала, на руки</t>
        </is>
      </c>
      <c r="B25" s="28" t="n"/>
      <c r="C25" s="28" t="n"/>
      <c r="D25" s="39">
        <f>D17+D18+D19+D20+D21</f>
        <v/>
      </c>
      <c r="E25" s="28" t="n"/>
      <c r="F25" s="28" t="n"/>
    </row>
    <row r="26">
      <c r="A26" s="51" t="inlineStr">
        <is>
          <t>Фонд административного персонала, на руки</t>
        </is>
      </c>
      <c r="B26" s="28" t="n"/>
      <c r="C26" s="28" t="n"/>
      <c r="D26" s="39">
        <f>D22+D23+D24</f>
        <v/>
      </c>
      <c r="E26" s="28" t="n"/>
      <c r="F26" s="28" t="n"/>
    </row>
    <row r="27">
      <c r="A27" s="40" t="inlineStr">
        <is>
          <t>Налоги и отчисления с ФОТ, % к сумме на руки</t>
        </is>
      </c>
      <c r="B27" s="50" t="n">
        <v>0.27</v>
      </c>
      <c r="C27" s="34" t="inlineStr">
        <is>
          <t>работодатель сверх окладов</t>
        </is>
      </c>
      <c r="D27" s="28" t="n"/>
      <c r="E27" s="28" t="n"/>
      <c r="F27" s="28" t="n"/>
    </row>
    <row r="28">
      <c r="A28" s="40" t="inlineStr">
        <is>
          <t>Индексация окладов, % в год</t>
        </is>
      </c>
      <c r="B28" s="50" t="n">
        <v>0.08</v>
      </c>
      <c r="C28" s="28" t="n"/>
      <c r="D28" s="28" t="n"/>
      <c r="E28" s="28" t="n"/>
      <c r="F28" s="28" t="n"/>
    </row>
    <row r="29">
      <c r="A29" s="28" t="n"/>
      <c r="B29" s="28" t="n"/>
      <c r="C29" s="28" t="n"/>
      <c r="D29" s="28" t="n"/>
      <c r="E29" s="28" t="n"/>
      <c r="F29" s="28" t="n"/>
    </row>
    <row r="30">
      <c r="A30" s="42" t="inlineStr">
        <is>
          <t>ПОСТОЯННЫЕ РАСХОДЫ, ₸ в месяц</t>
        </is>
      </c>
      <c r="B30" s="43" t="n"/>
      <c r="C30" s="43" t="n"/>
      <c r="D30" s="43" t="n"/>
      <c r="E30" s="43" t="n"/>
      <c r="F30" s="43" t="n"/>
    </row>
    <row r="31">
      <c r="A31" s="40" t="inlineStr">
        <is>
          <t>Аренда цеха и склада</t>
        </is>
      </c>
      <c r="B31" s="48" t="n">
        <v>1400000</v>
      </c>
      <c r="C31" s="28" t="n"/>
      <c r="D31" s="28" t="n"/>
      <c r="E31" s="28" t="n"/>
      <c r="F31" s="28" t="n"/>
    </row>
    <row r="32">
      <c r="A32" s="40" t="inlineStr">
        <is>
          <t>Коммунальные услуги</t>
        </is>
      </c>
      <c r="B32" s="48" t="n">
        <v>380000</v>
      </c>
      <c r="C32" s="28" t="n"/>
      <c r="D32" s="28" t="n"/>
      <c r="E32" s="28" t="n"/>
      <c r="F32" s="28" t="n"/>
    </row>
    <row r="33">
      <c r="A33" s="40" t="inlineStr">
        <is>
          <t>Обслуживание оборудования</t>
        </is>
      </c>
      <c r="B33" s="48" t="n">
        <v>150000</v>
      </c>
      <c r="C33" s="28" t="n"/>
      <c r="D33" s="28" t="n"/>
      <c r="E33" s="28" t="n"/>
      <c r="F33" s="28" t="n"/>
    </row>
    <row r="34">
      <c r="A34" s="40" t="inlineStr">
        <is>
          <t>Связь, ПО, бухгалтерское обслуживание</t>
        </is>
      </c>
      <c r="B34" s="48" t="n">
        <v>180000</v>
      </c>
      <c r="C34" s="28" t="n"/>
      <c r="D34" s="28" t="n"/>
      <c r="E34" s="28" t="n"/>
      <c r="F34" s="28" t="n"/>
    </row>
    <row r="35">
      <c r="A35" s="40" t="inlineStr">
        <is>
          <t>Прочие постоянные</t>
        </is>
      </c>
      <c r="B35" s="48" t="n">
        <v>200000</v>
      </c>
      <c r="C35" s="28" t="n"/>
      <c r="D35" s="28" t="n"/>
      <c r="E35" s="28" t="n"/>
      <c r="F35" s="28" t="n"/>
    </row>
    <row r="36">
      <c r="A36" s="28" t="n"/>
      <c r="B36" s="28" t="n"/>
      <c r="C36" s="28" t="n"/>
      <c r="D36" s="28" t="n"/>
      <c r="E36" s="28" t="n"/>
      <c r="F36" s="28" t="n"/>
    </row>
    <row r="37">
      <c r="A37" s="42" t="inlineStr">
        <is>
          <t>ОБОРОТНЫЙ КАПИТАЛ И НАЛОГИ</t>
        </is>
      </c>
      <c r="B37" s="43" t="n"/>
      <c r="C37" s="43" t="n"/>
      <c r="D37" s="43" t="n"/>
      <c r="E37" s="43" t="n"/>
      <c r="F37" s="43" t="n"/>
    </row>
    <row r="38">
      <c r="A38" s="40" t="inlineStr">
        <is>
          <t>Доля выручки, оплачиваемая в том же месяце</t>
        </is>
      </c>
      <c r="B38" s="50" t="n">
        <v>0.55</v>
      </c>
      <c r="C38" s="34" t="inlineStr">
        <is>
          <t>остальное — в следующем</t>
        </is>
      </c>
      <c r="D38" s="28" t="n"/>
      <c r="E38" s="28" t="n"/>
      <c r="F38" s="28" t="n"/>
    </row>
    <row r="39">
      <c r="A39" s="40" t="inlineStr">
        <is>
          <t>Доля закупки сырья, оплачиваемая в том же месяце</t>
        </is>
      </c>
      <c r="B39" s="50" t="n">
        <v>0.7</v>
      </c>
      <c r="C39" s="34" t="inlineStr">
        <is>
          <t>остальное — в следующем</t>
        </is>
      </c>
      <c r="D39" s="28" t="n"/>
      <c r="E39" s="28" t="n"/>
      <c r="F39" s="28" t="n"/>
    </row>
    <row r="40">
      <c r="A40" s="40" t="inlineStr">
        <is>
          <t>Запас сырья на складе, дней</t>
        </is>
      </c>
      <c r="B40" s="48" t="n">
        <v>20</v>
      </c>
      <c r="C40" s="34" t="inlineStr">
        <is>
          <t>вложение в оборотный капитал в мес. 1</t>
        </is>
      </c>
      <c r="D40" s="28" t="n"/>
      <c r="E40" s="28" t="n"/>
      <c r="F40" s="28" t="n"/>
    </row>
    <row r="41">
      <c r="A41" s="40" t="inlineStr">
        <is>
          <t>Ставка НДС</t>
        </is>
      </c>
      <c r="B41" s="50" t="n">
        <v>0.16</v>
      </c>
      <c r="C41" s="34" t="inlineStr">
        <is>
          <t>к уплате с добавленной стоимости</t>
        </is>
      </c>
      <c r="D41" s="28" t="n"/>
      <c r="E41" s="28" t="n"/>
      <c r="F41" s="28" t="n"/>
    </row>
    <row r="42">
      <c r="A42" s="40" t="inlineStr">
        <is>
          <t>Ставка КПН</t>
        </is>
      </c>
      <c r="B42" s="50" t="n">
        <v>0.2</v>
      </c>
      <c r="C42" s="34" t="inlineStr">
        <is>
          <t>с прибыли</t>
        </is>
      </c>
      <c r="D42" s="28" t="n"/>
      <c r="E42" s="28" t="n"/>
      <c r="F42" s="28" t="n"/>
    </row>
    <row r="43">
      <c r="A43" s="28" t="n"/>
      <c r="B43" s="28" t="n"/>
      <c r="C43" s="28" t="n"/>
      <c r="D43" s="28" t="n"/>
      <c r="E43" s="28" t="n"/>
      <c r="F43" s="28" t="n"/>
    </row>
    <row r="44">
      <c r="A44" s="42" t="inlineStr">
        <is>
          <t>ИНВЕСТИЦИИ И ФИНАНСИРОВАНИЕ</t>
        </is>
      </c>
      <c r="B44" s="43" t="n"/>
      <c r="C44" s="43" t="n"/>
      <c r="D44" s="43" t="n"/>
      <c r="E44" s="43" t="n"/>
      <c r="F44" s="43" t="n"/>
    </row>
    <row r="45">
      <c r="A45" s="40" t="inlineStr">
        <is>
          <t>Оборудование и запуск цеха, ₸</t>
        </is>
      </c>
      <c r="B45" s="48" t="n">
        <v>68000000</v>
      </c>
      <c r="C45" s="34" t="inlineStr">
        <is>
          <t>месяц 1</t>
        </is>
      </c>
      <c r="D45" s="28" t="n"/>
      <c r="E45" s="28" t="n"/>
      <c r="F45" s="28" t="n"/>
    </row>
    <row r="46">
      <c r="A46" s="40" t="inlineStr">
        <is>
          <t>Срок амортизации, лет</t>
        </is>
      </c>
      <c r="B46" s="48" t="n">
        <v>7</v>
      </c>
      <c r="C46" s="28" t="n"/>
      <c r="D46" s="28" t="n"/>
      <c r="E46" s="28" t="n"/>
      <c r="F46" s="28" t="n"/>
    </row>
    <row r="47">
      <c r="A47" s="40" t="inlineStr">
        <is>
          <t>Собственные средства, ₸</t>
        </is>
      </c>
      <c r="B47" s="48" t="n">
        <v>68000000</v>
      </c>
      <c r="C47" s="34" t="inlineStr">
        <is>
          <t>месяц 1</t>
        </is>
      </c>
      <c r="D47" s="28" t="n"/>
      <c r="E47" s="28" t="n"/>
      <c r="F47" s="28" t="n"/>
    </row>
    <row r="48">
      <c r="A48" s="40" t="inlineStr">
        <is>
          <t>Кредит, ₸</t>
        </is>
      </c>
      <c r="B48" s="48" t="n">
        <v>40000000</v>
      </c>
      <c r="C48" s="34" t="inlineStr">
        <is>
          <t>месяц 1</t>
        </is>
      </c>
      <c r="D48" s="28" t="n"/>
      <c r="E48" s="28" t="n"/>
      <c r="F48" s="28" t="n"/>
    </row>
    <row r="49">
      <c r="A49" s="40" t="inlineStr">
        <is>
          <t>Ставка по кредиту, % годовых</t>
        </is>
      </c>
      <c r="B49" s="50" t="n">
        <v>0.19</v>
      </c>
      <c r="C49" s="28" t="n"/>
      <c r="D49" s="28" t="n"/>
      <c r="E49" s="28" t="n"/>
      <c r="F49" s="28" t="n"/>
    </row>
    <row r="50">
      <c r="A50" s="40" t="inlineStr">
        <is>
          <t>Срок кредита, мес.</t>
        </is>
      </c>
      <c r="B50" s="48" t="n">
        <v>36</v>
      </c>
      <c r="C50" s="34" t="inlineStr">
        <is>
          <t>тело равными долями</t>
        </is>
      </c>
      <c r="D50" s="28" t="n"/>
      <c r="E50" s="28" t="n"/>
      <c r="F50" s="28" t="n"/>
    </row>
    <row r="51">
      <c r="A51" s="40" t="inlineStr">
        <is>
          <t>Отсрочка погашения тела, мес.</t>
        </is>
      </c>
      <c r="B51" s="48" t="n">
        <v>6</v>
      </c>
      <c r="C51" s="34" t="inlineStr">
        <is>
          <t>первые месяцы — только проценты</t>
        </is>
      </c>
      <c r="D51" s="28" t="n"/>
      <c r="E51" s="28" t="n"/>
      <c r="F51" s="28" t="n"/>
    </row>
    <row r="52">
      <c r="A52" s="28" t="n"/>
      <c r="B52" s="28" t="n"/>
      <c r="C52" s="28" t="n"/>
      <c r="D52" s="28" t="n"/>
      <c r="E52" s="28" t="n"/>
      <c r="F52" s="28" t="n"/>
    </row>
    <row r="53">
      <c r="A53" s="34" t="inlineStr">
        <is>
          <t>Пример из витрины. Все цифры условные и не относятся к какому-либо действующему бизнесу.</t>
        </is>
      </c>
      <c r="B53" s="28" t="n"/>
      <c r="C53" s="28" t="n"/>
      <c r="D53" s="28" t="n"/>
      <c r="E53" s="28" t="n"/>
      <c r="F53" s="2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6" customWidth="1" min="38" max="38"/>
  </cols>
  <sheetData>
    <row r="1" ht="30" customHeight="1">
      <c r="A1" s="35" t="inlineStr">
        <is>
          <t>ЦЕХ ПОЛУФАБРИКАТОВ — МОДЕЛЬ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</row>
    <row r="2">
      <c r="A2" s="29" t="inlineStr">
        <is>
          <t>36 месяцев · выручка и себестоимость считаются из объёмов, рецептуры и штатного расписания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  <c r="AL3" s="28" t="n"/>
    </row>
    <row r="4">
      <c r="A4" s="36" t="inlineStr">
        <is>
          <t>СТАТЬЯ</t>
        </is>
      </c>
      <c r="B4" s="37" t="inlineStr">
        <is>
          <t>М1</t>
        </is>
      </c>
      <c r="C4" s="37" t="inlineStr">
        <is>
          <t>М2</t>
        </is>
      </c>
      <c r="D4" s="37" t="inlineStr">
        <is>
          <t>М3</t>
        </is>
      </c>
      <c r="E4" s="37" t="inlineStr">
        <is>
          <t>М4</t>
        </is>
      </c>
      <c r="F4" s="37" t="inlineStr">
        <is>
          <t>М5</t>
        </is>
      </c>
      <c r="G4" s="37" t="inlineStr">
        <is>
          <t>М6</t>
        </is>
      </c>
      <c r="H4" s="37" t="inlineStr">
        <is>
          <t>М7</t>
        </is>
      </c>
      <c r="I4" s="37" t="inlineStr">
        <is>
          <t>М8</t>
        </is>
      </c>
      <c r="J4" s="37" t="inlineStr">
        <is>
          <t>М9</t>
        </is>
      </c>
      <c r="K4" s="37" t="inlineStr">
        <is>
          <t>М10</t>
        </is>
      </c>
      <c r="L4" s="37" t="inlineStr">
        <is>
          <t>М11</t>
        </is>
      </c>
      <c r="M4" s="37" t="inlineStr">
        <is>
          <t>М12</t>
        </is>
      </c>
      <c r="N4" s="37" t="inlineStr">
        <is>
          <t>М13</t>
        </is>
      </c>
      <c r="O4" s="37" t="inlineStr">
        <is>
          <t>М14</t>
        </is>
      </c>
      <c r="P4" s="37" t="inlineStr">
        <is>
          <t>М15</t>
        </is>
      </c>
      <c r="Q4" s="37" t="inlineStr">
        <is>
          <t>М16</t>
        </is>
      </c>
      <c r="R4" s="37" t="inlineStr">
        <is>
          <t>М17</t>
        </is>
      </c>
      <c r="S4" s="37" t="inlineStr">
        <is>
          <t>М18</t>
        </is>
      </c>
      <c r="T4" s="37" t="inlineStr">
        <is>
          <t>М19</t>
        </is>
      </c>
      <c r="U4" s="37" t="inlineStr">
        <is>
          <t>М20</t>
        </is>
      </c>
      <c r="V4" s="37" t="inlineStr">
        <is>
          <t>М21</t>
        </is>
      </c>
      <c r="W4" s="37" t="inlineStr">
        <is>
          <t>М22</t>
        </is>
      </c>
      <c r="X4" s="37" t="inlineStr">
        <is>
          <t>М23</t>
        </is>
      </c>
      <c r="Y4" s="37" t="inlineStr">
        <is>
          <t>М24</t>
        </is>
      </c>
      <c r="Z4" s="37" t="inlineStr">
        <is>
          <t>М25</t>
        </is>
      </c>
      <c r="AA4" s="37" t="inlineStr">
        <is>
          <t>М26</t>
        </is>
      </c>
      <c r="AB4" s="37" t="inlineStr">
        <is>
          <t>М27</t>
        </is>
      </c>
      <c r="AC4" s="37" t="inlineStr">
        <is>
          <t>М28</t>
        </is>
      </c>
      <c r="AD4" s="37" t="inlineStr">
        <is>
          <t>М29</t>
        </is>
      </c>
      <c r="AE4" s="37" t="inlineStr">
        <is>
          <t>М30</t>
        </is>
      </c>
      <c r="AF4" s="37" t="inlineStr">
        <is>
          <t>М31</t>
        </is>
      </c>
      <c r="AG4" s="37" t="inlineStr">
        <is>
          <t>М32</t>
        </is>
      </c>
      <c r="AH4" s="37" t="inlineStr">
        <is>
          <t>М33</t>
        </is>
      </c>
      <c r="AI4" s="37" t="inlineStr">
        <is>
          <t>М34</t>
        </is>
      </c>
      <c r="AJ4" s="37" t="inlineStr">
        <is>
          <t>М35</t>
        </is>
      </c>
      <c r="AK4" s="37" t="inlineStr">
        <is>
          <t>М36</t>
        </is>
      </c>
      <c r="AL4" s="37" t="inlineStr">
        <is>
          <t>ИТОГО 3 года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</row>
    <row r="6">
      <c r="A6" s="42" t="inlineStr">
        <is>
          <t>ВЫРУЧКА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</row>
    <row r="7">
      <c r="A7" s="40" t="inlineStr">
        <is>
          <t xml:space="preserve">   Объём: Пельмени, кг</t>
        </is>
      </c>
      <c r="B7" s="41">
        <f>Вводные!$C$6</f>
        <v/>
      </c>
      <c r="C7" s="41">
        <f>B7*(1+Вводные!$F$6)</f>
        <v/>
      </c>
      <c r="D7" s="41">
        <f>C7*(1+Вводные!$F$6)</f>
        <v/>
      </c>
      <c r="E7" s="41">
        <f>D7*(1+Вводные!$F$6)</f>
        <v/>
      </c>
      <c r="F7" s="41">
        <f>E7*(1+Вводные!$F$6)</f>
        <v/>
      </c>
      <c r="G7" s="41">
        <f>F7*(1+Вводные!$F$6)</f>
        <v/>
      </c>
      <c r="H7" s="41">
        <f>G7*(1+Вводные!$F$6)</f>
        <v/>
      </c>
      <c r="I7" s="41">
        <f>H7*(1+Вводные!$F$6)</f>
        <v/>
      </c>
      <c r="J7" s="41">
        <f>I7*(1+Вводные!$F$6)</f>
        <v/>
      </c>
      <c r="K7" s="41">
        <f>J7*(1+Вводные!$F$6)</f>
        <v/>
      </c>
      <c r="L7" s="41">
        <f>K7*(1+Вводные!$F$6)</f>
        <v/>
      </c>
      <c r="M7" s="41">
        <f>L7*(1+Вводные!$F$6)</f>
        <v/>
      </c>
      <c r="N7" s="41">
        <f>M7*(1+Вводные!$F$6)</f>
        <v/>
      </c>
      <c r="O7" s="41">
        <f>N7*(1+Вводные!$F$6)</f>
        <v/>
      </c>
      <c r="P7" s="41">
        <f>O7*(1+Вводные!$F$6)</f>
        <v/>
      </c>
      <c r="Q7" s="41">
        <f>P7*(1+Вводные!$F$6)</f>
        <v/>
      </c>
      <c r="R7" s="41">
        <f>Q7*(1+Вводные!$F$6)</f>
        <v/>
      </c>
      <c r="S7" s="41">
        <f>R7*(1+Вводные!$F$6)</f>
        <v/>
      </c>
      <c r="T7" s="41">
        <f>S7*(1+Вводные!$F$6)</f>
        <v/>
      </c>
      <c r="U7" s="41">
        <f>T7*(1+Вводные!$F$6)</f>
        <v/>
      </c>
      <c r="V7" s="41">
        <f>U7*(1+Вводные!$F$6)</f>
        <v/>
      </c>
      <c r="W7" s="41">
        <f>V7*(1+Вводные!$F$6)</f>
        <v/>
      </c>
      <c r="X7" s="41">
        <f>W7*(1+Вводные!$F$6)</f>
        <v/>
      </c>
      <c r="Y7" s="41">
        <f>X7*(1+Вводные!$F$6)</f>
        <v/>
      </c>
      <c r="Z7" s="41">
        <f>Y7*(1+Вводные!$F$6)</f>
        <v/>
      </c>
      <c r="AA7" s="41">
        <f>Z7*(1+Вводные!$F$6)</f>
        <v/>
      </c>
      <c r="AB7" s="41">
        <f>AA7*(1+Вводные!$F$6)</f>
        <v/>
      </c>
      <c r="AC7" s="41">
        <f>AB7*(1+Вводные!$F$6)</f>
        <v/>
      </c>
      <c r="AD7" s="41">
        <f>AC7*(1+Вводные!$F$6)</f>
        <v/>
      </c>
      <c r="AE7" s="41">
        <f>AD7*(1+Вводные!$F$6)</f>
        <v/>
      </c>
      <c r="AF7" s="41">
        <f>AE7*(1+Вводные!$F$6)</f>
        <v/>
      </c>
      <c r="AG7" s="41">
        <f>AF7*(1+Вводные!$F$6)</f>
        <v/>
      </c>
      <c r="AH7" s="41">
        <f>AG7*(1+Вводные!$F$6)</f>
        <v/>
      </c>
      <c r="AI7" s="41">
        <f>AH7*(1+Вводные!$F$6)</f>
        <v/>
      </c>
      <c r="AJ7" s="41">
        <f>AI7*(1+Вводные!$F$6)</f>
        <v/>
      </c>
      <c r="AK7" s="41">
        <f>AJ7*(1+Вводные!$F$6)</f>
        <v/>
      </c>
      <c r="AL7" s="39">
        <f>SUM(B7:AK7)</f>
        <v/>
      </c>
    </row>
    <row r="8">
      <c r="A8" s="40" t="inlineStr">
        <is>
          <t xml:space="preserve">   Выручка: Пельмени</t>
        </is>
      </c>
      <c r="B8" s="41">
        <f>B7*Вводные!$B$6</f>
        <v/>
      </c>
      <c r="C8" s="41">
        <f>C7*Вводные!$B$6</f>
        <v/>
      </c>
      <c r="D8" s="41">
        <f>D7*Вводные!$B$6</f>
        <v/>
      </c>
      <c r="E8" s="41">
        <f>E7*Вводные!$B$6</f>
        <v/>
      </c>
      <c r="F8" s="41">
        <f>F7*Вводные!$B$6</f>
        <v/>
      </c>
      <c r="G8" s="41">
        <f>G7*Вводные!$B$6</f>
        <v/>
      </c>
      <c r="H8" s="41">
        <f>H7*Вводные!$B$6</f>
        <v/>
      </c>
      <c r="I8" s="41">
        <f>I7*Вводные!$B$6</f>
        <v/>
      </c>
      <c r="J8" s="41">
        <f>J7*Вводные!$B$6</f>
        <v/>
      </c>
      <c r="K8" s="41">
        <f>K7*Вводные!$B$6</f>
        <v/>
      </c>
      <c r="L8" s="41">
        <f>L7*Вводные!$B$6</f>
        <v/>
      </c>
      <c r="M8" s="41">
        <f>M7*Вводные!$B$6</f>
        <v/>
      </c>
      <c r="N8" s="41">
        <f>N7*Вводные!$B$6</f>
        <v/>
      </c>
      <c r="O8" s="41">
        <f>O7*Вводные!$B$6</f>
        <v/>
      </c>
      <c r="P8" s="41">
        <f>P7*Вводные!$B$6</f>
        <v/>
      </c>
      <c r="Q8" s="41">
        <f>Q7*Вводные!$B$6</f>
        <v/>
      </c>
      <c r="R8" s="41">
        <f>R7*Вводные!$B$6</f>
        <v/>
      </c>
      <c r="S8" s="41">
        <f>S7*Вводные!$B$6</f>
        <v/>
      </c>
      <c r="T8" s="41">
        <f>T7*Вводные!$B$6</f>
        <v/>
      </c>
      <c r="U8" s="41">
        <f>U7*Вводные!$B$6</f>
        <v/>
      </c>
      <c r="V8" s="41">
        <f>V7*Вводные!$B$6</f>
        <v/>
      </c>
      <c r="W8" s="41">
        <f>W7*Вводные!$B$6</f>
        <v/>
      </c>
      <c r="X8" s="41">
        <f>X7*Вводные!$B$6</f>
        <v/>
      </c>
      <c r="Y8" s="41">
        <f>Y7*Вводные!$B$6</f>
        <v/>
      </c>
      <c r="Z8" s="41">
        <f>Z7*Вводные!$B$6</f>
        <v/>
      </c>
      <c r="AA8" s="41">
        <f>AA7*Вводные!$B$6</f>
        <v/>
      </c>
      <c r="AB8" s="41">
        <f>AB7*Вводные!$B$6</f>
        <v/>
      </c>
      <c r="AC8" s="41">
        <f>AC7*Вводные!$B$6</f>
        <v/>
      </c>
      <c r="AD8" s="41">
        <f>AD7*Вводные!$B$6</f>
        <v/>
      </c>
      <c r="AE8" s="41">
        <f>AE7*Вводные!$B$6</f>
        <v/>
      </c>
      <c r="AF8" s="41">
        <f>AF7*Вводные!$B$6</f>
        <v/>
      </c>
      <c r="AG8" s="41">
        <f>AG7*Вводные!$B$6</f>
        <v/>
      </c>
      <c r="AH8" s="41">
        <f>AH7*Вводные!$B$6</f>
        <v/>
      </c>
      <c r="AI8" s="41">
        <f>AI7*Вводные!$B$6</f>
        <v/>
      </c>
      <c r="AJ8" s="41">
        <f>AJ7*Вводные!$B$6</f>
        <v/>
      </c>
      <c r="AK8" s="41">
        <f>AK7*Вводные!$B$6</f>
        <v/>
      </c>
      <c r="AL8" s="39">
        <f>SUM(B8:AK8)</f>
        <v/>
      </c>
    </row>
    <row r="9">
      <c r="A9" s="40" t="inlineStr">
        <is>
          <t xml:space="preserve">   Объём: Котлеты, кг</t>
        </is>
      </c>
      <c r="B9" s="41">
        <f>Вводные!$C$7</f>
        <v/>
      </c>
      <c r="C9" s="41">
        <f>B9*(1+Вводные!$F$7)</f>
        <v/>
      </c>
      <c r="D9" s="41">
        <f>C9*(1+Вводные!$F$7)</f>
        <v/>
      </c>
      <c r="E9" s="41">
        <f>D9*(1+Вводные!$F$7)</f>
        <v/>
      </c>
      <c r="F9" s="41">
        <f>E9*(1+Вводные!$F$7)</f>
        <v/>
      </c>
      <c r="G9" s="41">
        <f>F9*(1+Вводные!$F$7)</f>
        <v/>
      </c>
      <c r="H9" s="41">
        <f>G9*(1+Вводные!$F$7)</f>
        <v/>
      </c>
      <c r="I9" s="41">
        <f>H9*(1+Вводные!$F$7)</f>
        <v/>
      </c>
      <c r="J9" s="41">
        <f>I9*(1+Вводные!$F$7)</f>
        <v/>
      </c>
      <c r="K9" s="41">
        <f>J9*(1+Вводные!$F$7)</f>
        <v/>
      </c>
      <c r="L9" s="41">
        <f>K9*(1+Вводные!$F$7)</f>
        <v/>
      </c>
      <c r="M9" s="41">
        <f>L9*(1+Вводные!$F$7)</f>
        <v/>
      </c>
      <c r="N9" s="41">
        <f>M9*(1+Вводные!$F$7)</f>
        <v/>
      </c>
      <c r="O9" s="41">
        <f>N9*(1+Вводные!$F$7)</f>
        <v/>
      </c>
      <c r="P9" s="41">
        <f>O9*(1+Вводные!$F$7)</f>
        <v/>
      </c>
      <c r="Q9" s="41">
        <f>P9*(1+Вводные!$F$7)</f>
        <v/>
      </c>
      <c r="R9" s="41">
        <f>Q9*(1+Вводные!$F$7)</f>
        <v/>
      </c>
      <c r="S9" s="41">
        <f>R9*(1+Вводные!$F$7)</f>
        <v/>
      </c>
      <c r="T9" s="41">
        <f>S9*(1+Вводные!$F$7)</f>
        <v/>
      </c>
      <c r="U9" s="41">
        <f>T9*(1+Вводные!$F$7)</f>
        <v/>
      </c>
      <c r="V9" s="41">
        <f>U9*(1+Вводные!$F$7)</f>
        <v/>
      </c>
      <c r="W9" s="41">
        <f>V9*(1+Вводные!$F$7)</f>
        <v/>
      </c>
      <c r="X9" s="41">
        <f>W9*(1+Вводные!$F$7)</f>
        <v/>
      </c>
      <c r="Y9" s="41">
        <f>X9*(1+Вводные!$F$7)</f>
        <v/>
      </c>
      <c r="Z9" s="41">
        <f>Y9*(1+Вводные!$F$7)</f>
        <v/>
      </c>
      <c r="AA9" s="41">
        <f>Z9*(1+Вводные!$F$7)</f>
        <v/>
      </c>
      <c r="AB9" s="41">
        <f>AA9*(1+Вводные!$F$7)</f>
        <v/>
      </c>
      <c r="AC9" s="41">
        <f>AB9*(1+Вводные!$F$7)</f>
        <v/>
      </c>
      <c r="AD9" s="41">
        <f>AC9*(1+Вводные!$F$7)</f>
        <v/>
      </c>
      <c r="AE9" s="41">
        <f>AD9*(1+Вводные!$F$7)</f>
        <v/>
      </c>
      <c r="AF9" s="41">
        <f>AE9*(1+Вводные!$F$7)</f>
        <v/>
      </c>
      <c r="AG9" s="41">
        <f>AF9*(1+Вводные!$F$7)</f>
        <v/>
      </c>
      <c r="AH9" s="41">
        <f>AG9*(1+Вводные!$F$7)</f>
        <v/>
      </c>
      <c r="AI9" s="41">
        <f>AH9*(1+Вводные!$F$7)</f>
        <v/>
      </c>
      <c r="AJ9" s="41">
        <f>AI9*(1+Вводные!$F$7)</f>
        <v/>
      </c>
      <c r="AK9" s="41">
        <f>AJ9*(1+Вводные!$F$7)</f>
        <v/>
      </c>
      <c r="AL9" s="39">
        <f>SUM(B9:AK9)</f>
        <v/>
      </c>
    </row>
    <row r="10">
      <c r="A10" s="40" t="inlineStr">
        <is>
          <t xml:space="preserve">   Выручка: Котлеты</t>
        </is>
      </c>
      <c r="B10" s="41">
        <f>B9*Вводные!$B$7</f>
        <v/>
      </c>
      <c r="C10" s="41">
        <f>C9*Вводные!$B$7</f>
        <v/>
      </c>
      <c r="D10" s="41">
        <f>D9*Вводные!$B$7</f>
        <v/>
      </c>
      <c r="E10" s="41">
        <f>E9*Вводные!$B$7</f>
        <v/>
      </c>
      <c r="F10" s="41">
        <f>F9*Вводные!$B$7</f>
        <v/>
      </c>
      <c r="G10" s="41">
        <f>G9*Вводные!$B$7</f>
        <v/>
      </c>
      <c r="H10" s="41">
        <f>H9*Вводные!$B$7</f>
        <v/>
      </c>
      <c r="I10" s="41">
        <f>I9*Вводные!$B$7</f>
        <v/>
      </c>
      <c r="J10" s="41">
        <f>J9*Вводные!$B$7</f>
        <v/>
      </c>
      <c r="K10" s="41">
        <f>K9*Вводные!$B$7</f>
        <v/>
      </c>
      <c r="L10" s="41">
        <f>L9*Вводные!$B$7</f>
        <v/>
      </c>
      <c r="M10" s="41">
        <f>M9*Вводные!$B$7</f>
        <v/>
      </c>
      <c r="N10" s="41">
        <f>N9*Вводные!$B$7</f>
        <v/>
      </c>
      <c r="O10" s="41">
        <f>O9*Вводные!$B$7</f>
        <v/>
      </c>
      <c r="P10" s="41">
        <f>P9*Вводные!$B$7</f>
        <v/>
      </c>
      <c r="Q10" s="41">
        <f>Q9*Вводные!$B$7</f>
        <v/>
      </c>
      <c r="R10" s="41">
        <f>R9*Вводные!$B$7</f>
        <v/>
      </c>
      <c r="S10" s="41">
        <f>S9*Вводные!$B$7</f>
        <v/>
      </c>
      <c r="T10" s="41">
        <f>T9*Вводные!$B$7</f>
        <v/>
      </c>
      <c r="U10" s="41">
        <f>U9*Вводные!$B$7</f>
        <v/>
      </c>
      <c r="V10" s="41">
        <f>V9*Вводные!$B$7</f>
        <v/>
      </c>
      <c r="W10" s="41">
        <f>W9*Вводные!$B$7</f>
        <v/>
      </c>
      <c r="X10" s="41">
        <f>X9*Вводные!$B$7</f>
        <v/>
      </c>
      <c r="Y10" s="41">
        <f>Y9*Вводные!$B$7</f>
        <v/>
      </c>
      <c r="Z10" s="41">
        <f>Z9*Вводные!$B$7</f>
        <v/>
      </c>
      <c r="AA10" s="41">
        <f>AA9*Вводные!$B$7</f>
        <v/>
      </c>
      <c r="AB10" s="41">
        <f>AB9*Вводные!$B$7</f>
        <v/>
      </c>
      <c r="AC10" s="41">
        <f>AC9*Вводные!$B$7</f>
        <v/>
      </c>
      <c r="AD10" s="41">
        <f>AD9*Вводные!$B$7</f>
        <v/>
      </c>
      <c r="AE10" s="41">
        <f>AE9*Вводные!$B$7</f>
        <v/>
      </c>
      <c r="AF10" s="41">
        <f>AF9*Вводные!$B$7</f>
        <v/>
      </c>
      <c r="AG10" s="41">
        <f>AG9*Вводные!$B$7</f>
        <v/>
      </c>
      <c r="AH10" s="41">
        <f>AH9*Вводные!$B$7</f>
        <v/>
      </c>
      <c r="AI10" s="41">
        <f>AI9*Вводные!$B$7</f>
        <v/>
      </c>
      <c r="AJ10" s="41">
        <f>AJ9*Вводные!$B$7</f>
        <v/>
      </c>
      <c r="AK10" s="41">
        <f>AK9*Вводные!$B$7</f>
        <v/>
      </c>
      <c r="AL10" s="39">
        <f>SUM(B10:AK10)</f>
        <v/>
      </c>
    </row>
    <row r="11">
      <c r="A11" s="40" t="inlineStr">
        <is>
          <t xml:space="preserve">   Объём: Вареники, кг</t>
        </is>
      </c>
      <c r="B11" s="41">
        <f>Вводные!$C$8</f>
        <v/>
      </c>
      <c r="C11" s="41">
        <f>B11*(1+Вводные!$F$8)</f>
        <v/>
      </c>
      <c r="D11" s="41">
        <f>C11*(1+Вводные!$F$8)</f>
        <v/>
      </c>
      <c r="E11" s="41">
        <f>D11*(1+Вводные!$F$8)</f>
        <v/>
      </c>
      <c r="F11" s="41">
        <f>E11*(1+Вводные!$F$8)</f>
        <v/>
      </c>
      <c r="G11" s="41">
        <f>F11*(1+Вводные!$F$8)</f>
        <v/>
      </c>
      <c r="H11" s="41">
        <f>G11*(1+Вводные!$F$8)</f>
        <v/>
      </c>
      <c r="I11" s="41">
        <f>H11*(1+Вводные!$F$8)</f>
        <v/>
      </c>
      <c r="J11" s="41">
        <f>I11*(1+Вводные!$F$8)</f>
        <v/>
      </c>
      <c r="K11" s="41">
        <f>J11*(1+Вводные!$F$8)</f>
        <v/>
      </c>
      <c r="L11" s="41">
        <f>K11*(1+Вводные!$F$8)</f>
        <v/>
      </c>
      <c r="M11" s="41">
        <f>L11*(1+Вводные!$F$8)</f>
        <v/>
      </c>
      <c r="N11" s="41">
        <f>M11*(1+Вводные!$F$8)</f>
        <v/>
      </c>
      <c r="O11" s="41">
        <f>N11*(1+Вводные!$F$8)</f>
        <v/>
      </c>
      <c r="P11" s="41">
        <f>O11*(1+Вводные!$F$8)</f>
        <v/>
      </c>
      <c r="Q11" s="41">
        <f>P11*(1+Вводные!$F$8)</f>
        <v/>
      </c>
      <c r="R11" s="41">
        <f>Q11*(1+Вводные!$F$8)</f>
        <v/>
      </c>
      <c r="S11" s="41">
        <f>R11*(1+Вводные!$F$8)</f>
        <v/>
      </c>
      <c r="T11" s="41">
        <f>S11*(1+Вводные!$F$8)</f>
        <v/>
      </c>
      <c r="U11" s="41">
        <f>T11*(1+Вводные!$F$8)</f>
        <v/>
      </c>
      <c r="V11" s="41">
        <f>U11*(1+Вводные!$F$8)</f>
        <v/>
      </c>
      <c r="W11" s="41">
        <f>V11*(1+Вводные!$F$8)</f>
        <v/>
      </c>
      <c r="X11" s="41">
        <f>W11*(1+Вводные!$F$8)</f>
        <v/>
      </c>
      <c r="Y11" s="41">
        <f>X11*(1+Вводные!$F$8)</f>
        <v/>
      </c>
      <c r="Z11" s="41">
        <f>Y11*(1+Вводные!$F$8)</f>
        <v/>
      </c>
      <c r="AA11" s="41">
        <f>Z11*(1+Вводные!$F$8)</f>
        <v/>
      </c>
      <c r="AB11" s="41">
        <f>AA11*(1+Вводные!$F$8)</f>
        <v/>
      </c>
      <c r="AC11" s="41">
        <f>AB11*(1+Вводные!$F$8)</f>
        <v/>
      </c>
      <c r="AD11" s="41">
        <f>AC11*(1+Вводные!$F$8)</f>
        <v/>
      </c>
      <c r="AE11" s="41">
        <f>AD11*(1+Вводные!$F$8)</f>
        <v/>
      </c>
      <c r="AF11" s="41">
        <f>AE11*(1+Вводные!$F$8)</f>
        <v/>
      </c>
      <c r="AG11" s="41">
        <f>AF11*(1+Вводные!$F$8)</f>
        <v/>
      </c>
      <c r="AH11" s="41">
        <f>AG11*(1+Вводные!$F$8)</f>
        <v/>
      </c>
      <c r="AI11" s="41">
        <f>AH11*(1+Вводные!$F$8)</f>
        <v/>
      </c>
      <c r="AJ11" s="41">
        <f>AI11*(1+Вводные!$F$8)</f>
        <v/>
      </c>
      <c r="AK11" s="41">
        <f>AJ11*(1+Вводные!$F$8)</f>
        <v/>
      </c>
      <c r="AL11" s="39">
        <f>SUM(B11:AK11)</f>
        <v/>
      </c>
    </row>
    <row r="12">
      <c r="A12" s="40" t="inlineStr">
        <is>
          <t xml:space="preserve">   Выручка: Вареники</t>
        </is>
      </c>
      <c r="B12" s="41">
        <f>B11*Вводные!$B$8</f>
        <v/>
      </c>
      <c r="C12" s="41">
        <f>C11*Вводные!$B$8</f>
        <v/>
      </c>
      <c r="D12" s="41">
        <f>D11*Вводные!$B$8</f>
        <v/>
      </c>
      <c r="E12" s="41">
        <f>E11*Вводные!$B$8</f>
        <v/>
      </c>
      <c r="F12" s="41">
        <f>F11*Вводные!$B$8</f>
        <v/>
      </c>
      <c r="G12" s="41">
        <f>G11*Вводные!$B$8</f>
        <v/>
      </c>
      <c r="H12" s="41">
        <f>H11*Вводные!$B$8</f>
        <v/>
      </c>
      <c r="I12" s="41">
        <f>I11*Вводные!$B$8</f>
        <v/>
      </c>
      <c r="J12" s="41">
        <f>J11*Вводные!$B$8</f>
        <v/>
      </c>
      <c r="K12" s="41">
        <f>K11*Вводные!$B$8</f>
        <v/>
      </c>
      <c r="L12" s="41">
        <f>L11*Вводные!$B$8</f>
        <v/>
      </c>
      <c r="M12" s="41">
        <f>M11*Вводные!$B$8</f>
        <v/>
      </c>
      <c r="N12" s="41">
        <f>N11*Вводные!$B$8</f>
        <v/>
      </c>
      <c r="O12" s="41">
        <f>O11*Вводные!$B$8</f>
        <v/>
      </c>
      <c r="P12" s="41">
        <f>P11*Вводные!$B$8</f>
        <v/>
      </c>
      <c r="Q12" s="41">
        <f>Q11*Вводные!$B$8</f>
        <v/>
      </c>
      <c r="R12" s="41">
        <f>R11*Вводные!$B$8</f>
        <v/>
      </c>
      <c r="S12" s="41">
        <f>S11*Вводные!$B$8</f>
        <v/>
      </c>
      <c r="T12" s="41">
        <f>T11*Вводные!$B$8</f>
        <v/>
      </c>
      <c r="U12" s="41">
        <f>U11*Вводные!$B$8</f>
        <v/>
      </c>
      <c r="V12" s="41">
        <f>V11*Вводные!$B$8</f>
        <v/>
      </c>
      <c r="W12" s="41">
        <f>W11*Вводные!$B$8</f>
        <v/>
      </c>
      <c r="X12" s="41">
        <f>X11*Вводные!$B$8</f>
        <v/>
      </c>
      <c r="Y12" s="41">
        <f>Y11*Вводные!$B$8</f>
        <v/>
      </c>
      <c r="Z12" s="41">
        <f>Z11*Вводные!$B$8</f>
        <v/>
      </c>
      <c r="AA12" s="41">
        <f>AA11*Вводные!$B$8</f>
        <v/>
      </c>
      <c r="AB12" s="41">
        <f>AB11*Вводные!$B$8</f>
        <v/>
      </c>
      <c r="AC12" s="41">
        <f>AC11*Вводные!$B$8</f>
        <v/>
      </c>
      <c r="AD12" s="41">
        <f>AD11*Вводные!$B$8</f>
        <v/>
      </c>
      <c r="AE12" s="41">
        <f>AE11*Вводные!$B$8</f>
        <v/>
      </c>
      <c r="AF12" s="41">
        <f>AF11*Вводные!$B$8</f>
        <v/>
      </c>
      <c r="AG12" s="41">
        <f>AG11*Вводные!$B$8</f>
        <v/>
      </c>
      <c r="AH12" s="41">
        <f>AH11*Вводные!$B$8</f>
        <v/>
      </c>
      <c r="AI12" s="41">
        <f>AI11*Вводные!$B$8</f>
        <v/>
      </c>
      <c r="AJ12" s="41">
        <f>AJ11*Вводные!$B$8</f>
        <v/>
      </c>
      <c r="AK12" s="41">
        <f>AK11*Вводные!$B$8</f>
        <v/>
      </c>
      <c r="AL12" s="39">
        <f>SUM(B12:AK12)</f>
        <v/>
      </c>
    </row>
    <row r="13">
      <c r="A13" s="38" t="inlineStr">
        <is>
          <t>ИТОГО ВЫРУЧКА</t>
        </is>
      </c>
      <c r="B13" s="39">
        <f>B8+B10+B12</f>
        <v/>
      </c>
      <c r="C13" s="39">
        <f>C8+C10+C12</f>
        <v/>
      </c>
      <c r="D13" s="39">
        <f>D8+D10+D12</f>
        <v/>
      </c>
      <c r="E13" s="39">
        <f>E8+E10+E12</f>
        <v/>
      </c>
      <c r="F13" s="39">
        <f>F8+F10+F12</f>
        <v/>
      </c>
      <c r="G13" s="39">
        <f>G8+G10+G12</f>
        <v/>
      </c>
      <c r="H13" s="39">
        <f>H8+H10+H12</f>
        <v/>
      </c>
      <c r="I13" s="39">
        <f>I8+I10+I12</f>
        <v/>
      </c>
      <c r="J13" s="39">
        <f>J8+J10+J12</f>
        <v/>
      </c>
      <c r="K13" s="39">
        <f>K8+K10+K12</f>
        <v/>
      </c>
      <c r="L13" s="39">
        <f>L8+L10+L12</f>
        <v/>
      </c>
      <c r="M13" s="39">
        <f>M8+M10+M12</f>
        <v/>
      </c>
      <c r="N13" s="39">
        <f>N8+N10+N12</f>
        <v/>
      </c>
      <c r="O13" s="39">
        <f>O8+O10+O12</f>
        <v/>
      </c>
      <c r="P13" s="39">
        <f>P8+P10+P12</f>
        <v/>
      </c>
      <c r="Q13" s="39">
        <f>Q8+Q10+Q12</f>
        <v/>
      </c>
      <c r="R13" s="39">
        <f>R8+R10+R12</f>
        <v/>
      </c>
      <c r="S13" s="39">
        <f>S8+S10+S12</f>
        <v/>
      </c>
      <c r="T13" s="39">
        <f>T8+T10+T12</f>
        <v/>
      </c>
      <c r="U13" s="39">
        <f>U8+U10+U12</f>
        <v/>
      </c>
      <c r="V13" s="39">
        <f>V8+V10+V12</f>
        <v/>
      </c>
      <c r="W13" s="39">
        <f>W8+W10+W12</f>
        <v/>
      </c>
      <c r="X13" s="39">
        <f>X8+X10+X12</f>
        <v/>
      </c>
      <c r="Y13" s="39">
        <f>Y8+Y10+Y12</f>
        <v/>
      </c>
      <c r="Z13" s="39">
        <f>Z8+Z10+Z12</f>
        <v/>
      </c>
      <c r="AA13" s="39">
        <f>AA8+AA10+AA12</f>
        <v/>
      </c>
      <c r="AB13" s="39">
        <f>AB8+AB10+AB12</f>
        <v/>
      </c>
      <c r="AC13" s="39">
        <f>AC8+AC10+AC12</f>
        <v/>
      </c>
      <c r="AD13" s="39">
        <f>AD8+AD10+AD12</f>
        <v/>
      </c>
      <c r="AE13" s="39">
        <f>AE8+AE10+AE12</f>
        <v/>
      </c>
      <c r="AF13" s="39">
        <f>AF8+AF10+AF12</f>
        <v/>
      </c>
      <c r="AG13" s="39">
        <f>AG8+AG10+AG12</f>
        <v/>
      </c>
      <c r="AH13" s="39">
        <f>AH8+AH10+AH12</f>
        <v/>
      </c>
      <c r="AI13" s="39">
        <f>AI8+AI10+AI12</f>
        <v/>
      </c>
      <c r="AJ13" s="39">
        <f>AJ8+AJ10+AJ12</f>
        <v/>
      </c>
      <c r="AK13" s="39">
        <f>AK8+AK10+AK12</f>
        <v/>
      </c>
      <c r="AL13" s="39">
        <f>SUM(B13:AK13)</f>
        <v/>
      </c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</row>
    <row r="15">
      <c r="A15" s="42" t="inlineStr">
        <is>
          <t>ПЕРЕМЕННЫЕ ЗАТРАТЫ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3" t="n"/>
      <c r="AE15" s="43" t="n"/>
      <c r="AF15" s="43" t="n"/>
      <c r="AG15" s="43" t="n"/>
      <c r="AH15" s="43" t="n"/>
      <c r="AI15" s="43" t="n"/>
      <c r="AJ15" s="43" t="n"/>
      <c r="AK15" s="43" t="n"/>
      <c r="AL15" s="43" t="n"/>
    </row>
    <row r="16">
      <c r="A16" s="40" t="inlineStr">
        <is>
          <t xml:space="preserve">   Сырьё (по рецептуре, с учётом потерь)</t>
        </is>
      </c>
      <c r="B16" s="41">
        <f>-(B7*Вводные!$D$6+B9*Вводные!$D$7+B11*Вводные!$D$8)*(1+Вводные!$B$11)</f>
        <v/>
      </c>
      <c r="C16" s="41">
        <f>-(C7*Вводные!$D$6+C9*Вводные!$D$7+C11*Вводные!$D$8)*(1+Вводные!$B$11)</f>
        <v/>
      </c>
      <c r="D16" s="41">
        <f>-(D7*Вводные!$D$6+D9*Вводные!$D$7+D11*Вводные!$D$8)*(1+Вводные!$B$11)</f>
        <v/>
      </c>
      <c r="E16" s="41">
        <f>-(E7*Вводные!$D$6+E9*Вводные!$D$7+E11*Вводные!$D$8)*(1+Вводные!$B$11)</f>
        <v/>
      </c>
      <c r="F16" s="41">
        <f>-(F7*Вводные!$D$6+F9*Вводные!$D$7+F11*Вводные!$D$8)*(1+Вводные!$B$11)</f>
        <v/>
      </c>
      <c r="G16" s="41">
        <f>-(G7*Вводные!$D$6+G9*Вводные!$D$7+G11*Вводные!$D$8)*(1+Вводные!$B$11)</f>
        <v/>
      </c>
      <c r="H16" s="41">
        <f>-(H7*Вводные!$D$6+H9*Вводные!$D$7+H11*Вводные!$D$8)*(1+Вводные!$B$11)</f>
        <v/>
      </c>
      <c r="I16" s="41">
        <f>-(I7*Вводные!$D$6+I9*Вводные!$D$7+I11*Вводные!$D$8)*(1+Вводные!$B$11)</f>
        <v/>
      </c>
      <c r="J16" s="41">
        <f>-(J7*Вводные!$D$6+J9*Вводные!$D$7+J11*Вводные!$D$8)*(1+Вводные!$B$11)</f>
        <v/>
      </c>
      <c r="K16" s="41">
        <f>-(K7*Вводные!$D$6+K9*Вводные!$D$7+K11*Вводные!$D$8)*(1+Вводные!$B$11)</f>
        <v/>
      </c>
      <c r="L16" s="41">
        <f>-(L7*Вводные!$D$6+L9*Вводные!$D$7+L11*Вводные!$D$8)*(1+Вводные!$B$11)</f>
        <v/>
      </c>
      <c r="M16" s="41">
        <f>-(M7*Вводные!$D$6+M9*Вводные!$D$7+M11*Вводные!$D$8)*(1+Вводные!$B$11)</f>
        <v/>
      </c>
      <c r="N16" s="41">
        <f>-(N7*Вводные!$D$6+N9*Вводные!$D$7+N11*Вводные!$D$8)*(1+Вводные!$B$11)</f>
        <v/>
      </c>
      <c r="O16" s="41">
        <f>-(O7*Вводные!$D$6+O9*Вводные!$D$7+O11*Вводные!$D$8)*(1+Вводные!$B$11)</f>
        <v/>
      </c>
      <c r="P16" s="41">
        <f>-(P7*Вводные!$D$6+P9*Вводные!$D$7+P11*Вводные!$D$8)*(1+Вводные!$B$11)</f>
        <v/>
      </c>
      <c r="Q16" s="41">
        <f>-(Q7*Вводные!$D$6+Q9*Вводные!$D$7+Q11*Вводные!$D$8)*(1+Вводные!$B$11)</f>
        <v/>
      </c>
      <c r="R16" s="41">
        <f>-(R7*Вводные!$D$6+R9*Вводные!$D$7+R11*Вводные!$D$8)*(1+Вводные!$B$11)</f>
        <v/>
      </c>
      <c r="S16" s="41">
        <f>-(S7*Вводные!$D$6+S9*Вводные!$D$7+S11*Вводные!$D$8)*(1+Вводные!$B$11)</f>
        <v/>
      </c>
      <c r="T16" s="41">
        <f>-(T7*Вводные!$D$6+T9*Вводные!$D$7+T11*Вводные!$D$8)*(1+Вводные!$B$11)</f>
        <v/>
      </c>
      <c r="U16" s="41">
        <f>-(U7*Вводные!$D$6+U9*Вводные!$D$7+U11*Вводные!$D$8)*(1+Вводные!$B$11)</f>
        <v/>
      </c>
      <c r="V16" s="41">
        <f>-(V7*Вводные!$D$6+V9*Вводные!$D$7+V11*Вводные!$D$8)*(1+Вводные!$B$11)</f>
        <v/>
      </c>
      <c r="W16" s="41">
        <f>-(W7*Вводные!$D$6+W9*Вводные!$D$7+W11*Вводные!$D$8)*(1+Вводные!$B$11)</f>
        <v/>
      </c>
      <c r="X16" s="41">
        <f>-(X7*Вводные!$D$6+X9*Вводные!$D$7+X11*Вводные!$D$8)*(1+Вводные!$B$11)</f>
        <v/>
      </c>
      <c r="Y16" s="41">
        <f>-(Y7*Вводные!$D$6+Y9*Вводные!$D$7+Y11*Вводные!$D$8)*(1+Вводные!$B$11)</f>
        <v/>
      </c>
      <c r="Z16" s="41">
        <f>-(Z7*Вводные!$D$6+Z9*Вводные!$D$7+Z11*Вводные!$D$8)*(1+Вводные!$B$11)</f>
        <v/>
      </c>
      <c r="AA16" s="41">
        <f>-(AA7*Вводные!$D$6+AA9*Вводные!$D$7+AA11*Вводные!$D$8)*(1+Вводные!$B$11)</f>
        <v/>
      </c>
      <c r="AB16" s="41">
        <f>-(AB7*Вводные!$D$6+AB9*Вводные!$D$7+AB11*Вводные!$D$8)*(1+Вводные!$B$11)</f>
        <v/>
      </c>
      <c r="AC16" s="41">
        <f>-(AC7*Вводные!$D$6+AC9*Вводные!$D$7+AC11*Вводные!$D$8)*(1+Вводные!$B$11)</f>
        <v/>
      </c>
      <c r="AD16" s="41">
        <f>-(AD7*Вводные!$D$6+AD9*Вводные!$D$7+AD11*Вводные!$D$8)*(1+Вводные!$B$11)</f>
        <v/>
      </c>
      <c r="AE16" s="41">
        <f>-(AE7*Вводные!$D$6+AE9*Вводные!$D$7+AE11*Вводные!$D$8)*(1+Вводные!$B$11)</f>
        <v/>
      </c>
      <c r="AF16" s="41">
        <f>-(AF7*Вводные!$D$6+AF9*Вводные!$D$7+AF11*Вводные!$D$8)*(1+Вводные!$B$11)</f>
        <v/>
      </c>
      <c r="AG16" s="41">
        <f>-(AG7*Вводные!$D$6+AG9*Вводные!$D$7+AG11*Вводные!$D$8)*(1+Вводные!$B$11)</f>
        <v/>
      </c>
      <c r="AH16" s="41">
        <f>-(AH7*Вводные!$D$6+AH9*Вводные!$D$7+AH11*Вводные!$D$8)*(1+Вводные!$B$11)</f>
        <v/>
      </c>
      <c r="AI16" s="41">
        <f>-(AI7*Вводные!$D$6+AI9*Вводные!$D$7+AI11*Вводные!$D$8)*(1+Вводные!$B$11)</f>
        <v/>
      </c>
      <c r="AJ16" s="41">
        <f>-(AJ7*Вводные!$D$6+AJ9*Вводные!$D$7+AJ11*Вводные!$D$8)*(1+Вводные!$B$11)</f>
        <v/>
      </c>
      <c r="AK16" s="41">
        <f>-(AK7*Вводные!$D$6+AK9*Вводные!$D$7+AK11*Вводные!$D$8)*(1+Вводные!$B$11)</f>
        <v/>
      </c>
      <c r="AL16" s="39">
        <f>SUM(B16:AK16)</f>
        <v/>
      </c>
    </row>
    <row r="17">
      <c r="A17" s="40" t="inlineStr">
        <is>
          <t xml:space="preserve">   Упаковка</t>
        </is>
      </c>
      <c r="B17" s="41">
        <f>-(B7*Вводные!$E$6+B9*Вводные!$E$7+B11*Вводные!$E$8)</f>
        <v/>
      </c>
      <c r="C17" s="41">
        <f>-(C7*Вводные!$E$6+C9*Вводные!$E$7+C11*Вводные!$E$8)</f>
        <v/>
      </c>
      <c r="D17" s="41">
        <f>-(D7*Вводные!$E$6+D9*Вводные!$E$7+D11*Вводные!$E$8)</f>
        <v/>
      </c>
      <c r="E17" s="41">
        <f>-(E7*Вводные!$E$6+E9*Вводные!$E$7+E11*Вводные!$E$8)</f>
        <v/>
      </c>
      <c r="F17" s="41">
        <f>-(F7*Вводные!$E$6+F9*Вводные!$E$7+F11*Вводные!$E$8)</f>
        <v/>
      </c>
      <c r="G17" s="41">
        <f>-(G7*Вводные!$E$6+G9*Вводные!$E$7+G11*Вводные!$E$8)</f>
        <v/>
      </c>
      <c r="H17" s="41">
        <f>-(H7*Вводные!$E$6+H9*Вводные!$E$7+H11*Вводные!$E$8)</f>
        <v/>
      </c>
      <c r="I17" s="41">
        <f>-(I7*Вводные!$E$6+I9*Вводные!$E$7+I11*Вводные!$E$8)</f>
        <v/>
      </c>
      <c r="J17" s="41">
        <f>-(J7*Вводные!$E$6+J9*Вводные!$E$7+J11*Вводные!$E$8)</f>
        <v/>
      </c>
      <c r="K17" s="41">
        <f>-(K7*Вводные!$E$6+K9*Вводные!$E$7+K11*Вводные!$E$8)</f>
        <v/>
      </c>
      <c r="L17" s="41">
        <f>-(L7*Вводные!$E$6+L9*Вводные!$E$7+L11*Вводные!$E$8)</f>
        <v/>
      </c>
      <c r="M17" s="41">
        <f>-(M7*Вводные!$E$6+M9*Вводные!$E$7+M11*Вводные!$E$8)</f>
        <v/>
      </c>
      <c r="N17" s="41">
        <f>-(N7*Вводные!$E$6+N9*Вводные!$E$7+N11*Вводные!$E$8)</f>
        <v/>
      </c>
      <c r="O17" s="41">
        <f>-(O7*Вводные!$E$6+O9*Вводные!$E$7+O11*Вводные!$E$8)</f>
        <v/>
      </c>
      <c r="P17" s="41">
        <f>-(P7*Вводные!$E$6+P9*Вводные!$E$7+P11*Вводные!$E$8)</f>
        <v/>
      </c>
      <c r="Q17" s="41">
        <f>-(Q7*Вводные!$E$6+Q9*Вводные!$E$7+Q11*Вводные!$E$8)</f>
        <v/>
      </c>
      <c r="R17" s="41">
        <f>-(R7*Вводные!$E$6+R9*Вводные!$E$7+R11*Вводные!$E$8)</f>
        <v/>
      </c>
      <c r="S17" s="41">
        <f>-(S7*Вводные!$E$6+S9*Вводные!$E$7+S11*Вводные!$E$8)</f>
        <v/>
      </c>
      <c r="T17" s="41">
        <f>-(T7*Вводные!$E$6+T9*Вводные!$E$7+T11*Вводные!$E$8)</f>
        <v/>
      </c>
      <c r="U17" s="41">
        <f>-(U7*Вводные!$E$6+U9*Вводные!$E$7+U11*Вводные!$E$8)</f>
        <v/>
      </c>
      <c r="V17" s="41">
        <f>-(V7*Вводные!$E$6+V9*Вводные!$E$7+V11*Вводные!$E$8)</f>
        <v/>
      </c>
      <c r="W17" s="41">
        <f>-(W7*Вводные!$E$6+W9*Вводные!$E$7+W11*Вводные!$E$8)</f>
        <v/>
      </c>
      <c r="X17" s="41">
        <f>-(X7*Вводные!$E$6+X9*Вводные!$E$7+X11*Вводные!$E$8)</f>
        <v/>
      </c>
      <c r="Y17" s="41">
        <f>-(Y7*Вводные!$E$6+Y9*Вводные!$E$7+Y11*Вводные!$E$8)</f>
        <v/>
      </c>
      <c r="Z17" s="41">
        <f>-(Z7*Вводные!$E$6+Z9*Вводные!$E$7+Z11*Вводные!$E$8)</f>
        <v/>
      </c>
      <c r="AA17" s="41">
        <f>-(AA7*Вводные!$E$6+AA9*Вводные!$E$7+AA11*Вводные!$E$8)</f>
        <v/>
      </c>
      <c r="AB17" s="41">
        <f>-(AB7*Вводные!$E$6+AB9*Вводные!$E$7+AB11*Вводные!$E$8)</f>
        <v/>
      </c>
      <c r="AC17" s="41">
        <f>-(AC7*Вводные!$E$6+AC9*Вводные!$E$7+AC11*Вводные!$E$8)</f>
        <v/>
      </c>
      <c r="AD17" s="41">
        <f>-(AD7*Вводные!$E$6+AD9*Вводные!$E$7+AD11*Вводные!$E$8)</f>
        <v/>
      </c>
      <c r="AE17" s="41">
        <f>-(AE7*Вводные!$E$6+AE9*Вводные!$E$7+AE11*Вводные!$E$8)</f>
        <v/>
      </c>
      <c r="AF17" s="41">
        <f>-(AF7*Вводные!$E$6+AF9*Вводные!$E$7+AF11*Вводные!$E$8)</f>
        <v/>
      </c>
      <c r="AG17" s="41">
        <f>-(AG7*Вводные!$E$6+AG9*Вводные!$E$7+AG11*Вводные!$E$8)</f>
        <v/>
      </c>
      <c r="AH17" s="41">
        <f>-(AH7*Вводные!$E$6+AH9*Вводные!$E$7+AH11*Вводные!$E$8)</f>
        <v/>
      </c>
      <c r="AI17" s="41">
        <f>-(AI7*Вводные!$E$6+AI9*Вводные!$E$7+AI11*Вводные!$E$8)</f>
        <v/>
      </c>
      <c r="AJ17" s="41">
        <f>-(AJ7*Вводные!$E$6+AJ9*Вводные!$E$7+AJ11*Вводные!$E$8)</f>
        <v/>
      </c>
      <c r="AK17" s="41">
        <f>-(AK7*Вводные!$E$6+AK9*Вводные!$E$7+AK11*Вводные!$E$8)</f>
        <v/>
      </c>
      <c r="AL17" s="39">
        <f>SUM(B17:AK17)</f>
        <v/>
      </c>
    </row>
    <row r="18">
      <c r="A18" s="40" t="inlineStr">
        <is>
          <t xml:space="preserve">   Логистика и доставка</t>
        </is>
      </c>
      <c r="B18" s="41">
        <f>-(B7+B9+B11)*Вводные!$B$12</f>
        <v/>
      </c>
      <c r="C18" s="41">
        <f>-(C7+C9+C11)*Вводные!$B$12</f>
        <v/>
      </c>
      <c r="D18" s="41">
        <f>-(D7+D9+D11)*Вводные!$B$12</f>
        <v/>
      </c>
      <c r="E18" s="41">
        <f>-(E7+E9+E11)*Вводные!$B$12</f>
        <v/>
      </c>
      <c r="F18" s="41">
        <f>-(F7+F9+F11)*Вводные!$B$12</f>
        <v/>
      </c>
      <c r="G18" s="41">
        <f>-(G7+G9+G11)*Вводные!$B$12</f>
        <v/>
      </c>
      <c r="H18" s="41">
        <f>-(H7+H9+H11)*Вводные!$B$12</f>
        <v/>
      </c>
      <c r="I18" s="41">
        <f>-(I7+I9+I11)*Вводные!$B$12</f>
        <v/>
      </c>
      <c r="J18" s="41">
        <f>-(J7+J9+J11)*Вводные!$B$12</f>
        <v/>
      </c>
      <c r="K18" s="41">
        <f>-(K7+K9+K11)*Вводные!$B$12</f>
        <v/>
      </c>
      <c r="L18" s="41">
        <f>-(L7+L9+L11)*Вводные!$B$12</f>
        <v/>
      </c>
      <c r="M18" s="41">
        <f>-(M7+M9+M11)*Вводные!$B$12</f>
        <v/>
      </c>
      <c r="N18" s="41">
        <f>-(N7+N9+N11)*Вводные!$B$12</f>
        <v/>
      </c>
      <c r="O18" s="41">
        <f>-(O7+O9+O11)*Вводные!$B$12</f>
        <v/>
      </c>
      <c r="P18" s="41">
        <f>-(P7+P9+P11)*Вводные!$B$12</f>
        <v/>
      </c>
      <c r="Q18" s="41">
        <f>-(Q7+Q9+Q11)*Вводные!$B$12</f>
        <v/>
      </c>
      <c r="R18" s="41">
        <f>-(R7+R9+R11)*Вводные!$B$12</f>
        <v/>
      </c>
      <c r="S18" s="41">
        <f>-(S7+S9+S11)*Вводные!$B$12</f>
        <v/>
      </c>
      <c r="T18" s="41">
        <f>-(T7+T9+T11)*Вводные!$B$12</f>
        <v/>
      </c>
      <c r="U18" s="41">
        <f>-(U7+U9+U11)*Вводные!$B$12</f>
        <v/>
      </c>
      <c r="V18" s="41">
        <f>-(V7+V9+V11)*Вводные!$B$12</f>
        <v/>
      </c>
      <c r="W18" s="41">
        <f>-(W7+W9+W11)*Вводные!$B$12</f>
        <v/>
      </c>
      <c r="X18" s="41">
        <f>-(X7+X9+X11)*Вводные!$B$12</f>
        <v/>
      </c>
      <c r="Y18" s="41">
        <f>-(Y7+Y9+Y11)*Вводные!$B$12</f>
        <v/>
      </c>
      <c r="Z18" s="41">
        <f>-(Z7+Z9+Z11)*Вводные!$B$12</f>
        <v/>
      </c>
      <c r="AA18" s="41">
        <f>-(AA7+AA9+AA11)*Вводные!$B$12</f>
        <v/>
      </c>
      <c r="AB18" s="41">
        <f>-(AB7+AB9+AB11)*Вводные!$B$12</f>
        <v/>
      </c>
      <c r="AC18" s="41">
        <f>-(AC7+AC9+AC11)*Вводные!$B$12</f>
        <v/>
      </c>
      <c r="AD18" s="41">
        <f>-(AD7+AD9+AD11)*Вводные!$B$12</f>
        <v/>
      </c>
      <c r="AE18" s="41">
        <f>-(AE7+AE9+AE11)*Вводные!$B$12</f>
        <v/>
      </c>
      <c r="AF18" s="41">
        <f>-(AF7+AF9+AF11)*Вводные!$B$12</f>
        <v/>
      </c>
      <c r="AG18" s="41">
        <f>-(AG7+AG9+AG11)*Вводные!$B$12</f>
        <v/>
      </c>
      <c r="AH18" s="41">
        <f>-(AH7+AH9+AH11)*Вводные!$B$12</f>
        <v/>
      </c>
      <c r="AI18" s="41">
        <f>-(AI7+AI9+AI11)*Вводные!$B$12</f>
        <v/>
      </c>
      <c r="AJ18" s="41">
        <f>-(AJ7+AJ9+AJ11)*Вводные!$B$12</f>
        <v/>
      </c>
      <c r="AK18" s="41">
        <f>-(AK7+AK9+AK11)*Вводные!$B$12</f>
        <v/>
      </c>
      <c r="AL18" s="39">
        <f>SUM(B18:AK18)</f>
        <v/>
      </c>
    </row>
    <row r="19">
      <c r="A19" s="40" t="inlineStr">
        <is>
          <t xml:space="preserve">   Маркетинг</t>
        </is>
      </c>
      <c r="B19" s="41">
        <f>-B13*Вводные!$B$13</f>
        <v/>
      </c>
      <c r="C19" s="41">
        <f>-C13*Вводные!$B$13</f>
        <v/>
      </c>
      <c r="D19" s="41">
        <f>-D13*Вводные!$B$13</f>
        <v/>
      </c>
      <c r="E19" s="41">
        <f>-E13*Вводные!$B$13</f>
        <v/>
      </c>
      <c r="F19" s="41">
        <f>-F13*Вводные!$B$13</f>
        <v/>
      </c>
      <c r="G19" s="41">
        <f>-G13*Вводные!$B$13</f>
        <v/>
      </c>
      <c r="H19" s="41">
        <f>-H13*Вводные!$B$13</f>
        <v/>
      </c>
      <c r="I19" s="41">
        <f>-I13*Вводные!$B$13</f>
        <v/>
      </c>
      <c r="J19" s="41">
        <f>-J13*Вводные!$B$13</f>
        <v/>
      </c>
      <c r="K19" s="41">
        <f>-K13*Вводные!$B$13</f>
        <v/>
      </c>
      <c r="L19" s="41">
        <f>-L13*Вводные!$B$13</f>
        <v/>
      </c>
      <c r="M19" s="41">
        <f>-M13*Вводные!$B$13</f>
        <v/>
      </c>
      <c r="N19" s="41">
        <f>-N13*Вводные!$B$13</f>
        <v/>
      </c>
      <c r="O19" s="41">
        <f>-O13*Вводные!$B$13</f>
        <v/>
      </c>
      <c r="P19" s="41">
        <f>-P13*Вводные!$B$13</f>
        <v/>
      </c>
      <c r="Q19" s="41">
        <f>-Q13*Вводные!$B$13</f>
        <v/>
      </c>
      <c r="R19" s="41">
        <f>-R13*Вводные!$B$13</f>
        <v/>
      </c>
      <c r="S19" s="41">
        <f>-S13*Вводные!$B$13</f>
        <v/>
      </c>
      <c r="T19" s="41">
        <f>-T13*Вводные!$B$13</f>
        <v/>
      </c>
      <c r="U19" s="41">
        <f>-U13*Вводные!$B$13</f>
        <v/>
      </c>
      <c r="V19" s="41">
        <f>-V13*Вводные!$B$13</f>
        <v/>
      </c>
      <c r="W19" s="41">
        <f>-W13*Вводные!$B$13</f>
        <v/>
      </c>
      <c r="X19" s="41">
        <f>-X13*Вводные!$B$13</f>
        <v/>
      </c>
      <c r="Y19" s="41">
        <f>-Y13*Вводные!$B$13</f>
        <v/>
      </c>
      <c r="Z19" s="41">
        <f>-Z13*Вводные!$B$13</f>
        <v/>
      </c>
      <c r="AA19" s="41">
        <f>-AA13*Вводные!$B$13</f>
        <v/>
      </c>
      <c r="AB19" s="41">
        <f>-AB13*Вводные!$B$13</f>
        <v/>
      </c>
      <c r="AC19" s="41">
        <f>-AC13*Вводные!$B$13</f>
        <v/>
      </c>
      <c r="AD19" s="41">
        <f>-AD13*Вводные!$B$13</f>
        <v/>
      </c>
      <c r="AE19" s="41">
        <f>-AE13*Вводные!$B$13</f>
        <v/>
      </c>
      <c r="AF19" s="41">
        <f>-AF13*Вводные!$B$13</f>
        <v/>
      </c>
      <c r="AG19" s="41">
        <f>-AG13*Вводные!$B$13</f>
        <v/>
      </c>
      <c r="AH19" s="41">
        <f>-AH13*Вводные!$B$13</f>
        <v/>
      </c>
      <c r="AI19" s="41">
        <f>-AI13*Вводные!$B$13</f>
        <v/>
      </c>
      <c r="AJ19" s="41">
        <f>-AJ13*Вводные!$B$13</f>
        <v/>
      </c>
      <c r="AK19" s="41">
        <f>-AK13*Вводные!$B$13</f>
        <v/>
      </c>
      <c r="AL19" s="39">
        <f>SUM(B19:AK19)</f>
        <v/>
      </c>
    </row>
    <row r="20">
      <c r="A20" s="38" t="inlineStr">
        <is>
          <t>Итого переменные затраты</t>
        </is>
      </c>
      <c r="B20" s="39">
        <f>SUM(B16:B19)</f>
        <v/>
      </c>
      <c r="C20" s="39">
        <f>SUM(C16:C19)</f>
        <v/>
      </c>
      <c r="D20" s="39">
        <f>SUM(D16:D19)</f>
        <v/>
      </c>
      <c r="E20" s="39">
        <f>SUM(E16:E19)</f>
        <v/>
      </c>
      <c r="F20" s="39">
        <f>SUM(F16:F19)</f>
        <v/>
      </c>
      <c r="G20" s="39">
        <f>SUM(G16:G19)</f>
        <v/>
      </c>
      <c r="H20" s="39">
        <f>SUM(H16:H19)</f>
        <v/>
      </c>
      <c r="I20" s="39">
        <f>SUM(I16:I19)</f>
        <v/>
      </c>
      <c r="J20" s="39">
        <f>SUM(J16:J19)</f>
        <v/>
      </c>
      <c r="K20" s="39">
        <f>SUM(K16:K19)</f>
        <v/>
      </c>
      <c r="L20" s="39">
        <f>SUM(L16:L19)</f>
        <v/>
      </c>
      <c r="M20" s="39">
        <f>SUM(M16:M19)</f>
        <v/>
      </c>
      <c r="N20" s="39">
        <f>SUM(N16:N19)</f>
        <v/>
      </c>
      <c r="O20" s="39">
        <f>SUM(O16:O19)</f>
        <v/>
      </c>
      <c r="P20" s="39">
        <f>SUM(P16:P19)</f>
        <v/>
      </c>
      <c r="Q20" s="39">
        <f>SUM(Q16:Q19)</f>
        <v/>
      </c>
      <c r="R20" s="39">
        <f>SUM(R16:R19)</f>
        <v/>
      </c>
      <c r="S20" s="39">
        <f>SUM(S16:S19)</f>
        <v/>
      </c>
      <c r="T20" s="39">
        <f>SUM(T16:T19)</f>
        <v/>
      </c>
      <c r="U20" s="39">
        <f>SUM(U16:U19)</f>
        <v/>
      </c>
      <c r="V20" s="39">
        <f>SUM(V16:V19)</f>
        <v/>
      </c>
      <c r="W20" s="39">
        <f>SUM(W16:W19)</f>
        <v/>
      </c>
      <c r="X20" s="39">
        <f>SUM(X16:X19)</f>
        <v/>
      </c>
      <c r="Y20" s="39">
        <f>SUM(Y16:Y19)</f>
        <v/>
      </c>
      <c r="Z20" s="39">
        <f>SUM(Z16:Z19)</f>
        <v/>
      </c>
      <c r="AA20" s="39">
        <f>SUM(AA16:AA19)</f>
        <v/>
      </c>
      <c r="AB20" s="39">
        <f>SUM(AB16:AB19)</f>
        <v/>
      </c>
      <c r="AC20" s="39">
        <f>SUM(AC16:AC19)</f>
        <v/>
      </c>
      <c r="AD20" s="39">
        <f>SUM(AD16:AD19)</f>
        <v/>
      </c>
      <c r="AE20" s="39">
        <f>SUM(AE16:AE19)</f>
        <v/>
      </c>
      <c r="AF20" s="39">
        <f>SUM(AF16:AF19)</f>
        <v/>
      </c>
      <c r="AG20" s="39">
        <f>SUM(AG16:AG19)</f>
        <v/>
      </c>
      <c r="AH20" s="39">
        <f>SUM(AH16:AH19)</f>
        <v/>
      </c>
      <c r="AI20" s="39">
        <f>SUM(AI16:AI19)</f>
        <v/>
      </c>
      <c r="AJ20" s="39">
        <f>SUM(AJ16:AJ19)</f>
        <v/>
      </c>
      <c r="AK20" s="39">
        <f>SUM(AK16:AK19)</f>
        <v/>
      </c>
      <c r="AL20" s="39">
        <f>SUM(B20:AK20)</f>
        <v/>
      </c>
    </row>
    <row r="21">
      <c r="A21" s="38" t="inlineStr">
        <is>
          <t>МАРЖИНАЛЬНАЯ ПРИБЫЛЬ</t>
        </is>
      </c>
      <c r="B21" s="39">
        <f>B13+B20</f>
        <v/>
      </c>
      <c r="C21" s="39">
        <f>C13+C20</f>
        <v/>
      </c>
      <c r="D21" s="39">
        <f>D13+D20</f>
        <v/>
      </c>
      <c r="E21" s="39">
        <f>E13+E20</f>
        <v/>
      </c>
      <c r="F21" s="39">
        <f>F13+F20</f>
        <v/>
      </c>
      <c r="G21" s="39">
        <f>G13+G20</f>
        <v/>
      </c>
      <c r="H21" s="39">
        <f>H13+H20</f>
        <v/>
      </c>
      <c r="I21" s="39">
        <f>I13+I20</f>
        <v/>
      </c>
      <c r="J21" s="39">
        <f>J13+J20</f>
        <v/>
      </c>
      <c r="K21" s="39">
        <f>K13+K20</f>
        <v/>
      </c>
      <c r="L21" s="39">
        <f>L13+L20</f>
        <v/>
      </c>
      <c r="M21" s="39">
        <f>M13+M20</f>
        <v/>
      </c>
      <c r="N21" s="39">
        <f>N13+N20</f>
        <v/>
      </c>
      <c r="O21" s="39">
        <f>O13+O20</f>
        <v/>
      </c>
      <c r="P21" s="39">
        <f>P13+P20</f>
        <v/>
      </c>
      <c r="Q21" s="39">
        <f>Q13+Q20</f>
        <v/>
      </c>
      <c r="R21" s="39">
        <f>R13+R20</f>
        <v/>
      </c>
      <c r="S21" s="39">
        <f>S13+S20</f>
        <v/>
      </c>
      <c r="T21" s="39">
        <f>T13+T20</f>
        <v/>
      </c>
      <c r="U21" s="39">
        <f>U13+U20</f>
        <v/>
      </c>
      <c r="V21" s="39">
        <f>V13+V20</f>
        <v/>
      </c>
      <c r="W21" s="39">
        <f>W13+W20</f>
        <v/>
      </c>
      <c r="X21" s="39">
        <f>X13+X20</f>
        <v/>
      </c>
      <c r="Y21" s="39">
        <f>Y13+Y20</f>
        <v/>
      </c>
      <c r="Z21" s="39">
        <f>Z13+Z20</f>
        <v/>
      </c>
      <c r="AA21" s="39">
        <f>AA13+AA20</f>
        <v/>
      </c>
      <c r="AB21" s="39">
        <f>AB13+AB20</f>
        <v/>
      </c>
      <c r="AC21" s="39">
        <f>AC13+AC20</f>
        <v/>
      </c>
      <c r="AD21" s="39">
        <f>AD13+AD20</f>
        <v/>
      </c>
      <c r="AE21" s="39">
        <f>AE13+AE20</f>
        <v/>
      </c>
      <c r="AF21" s="39">
        <f>AF13+AF20</f>
        <v/>
      </c>
      <c r="AG21" s="39">
        <f>AG13+AG20</f>
        <v/>
      </c>
      <c r="AH21" s="39">
        <f>AH13+AH20</f>
        <v/>
      </c>
      <c r="AI21" s="39">
        <f>AI13+AI20</f>
        <v/>
      </c>
      <c r="AJ21" s="39">
        <f>AJ13+AJ20</f>
        <v/>
      </c>
      <c r="AK21" s="39">
        <f>AK13+AK20</f>
        <v/>
      </c>
      <c r="AL21" s="39">
        <f>SUM(B21:AK21)</f>
        <v/>
      </c>
    </row>
    <row r="22">
      <c r="A22" s="40" t="inlineStr">
        <is>
          <t xml:space="preserve">   Маржинальность, %</t>
        </is>
      </c>
      <c r="B22" s="52">
        <f>IF(B13=0,0,B21/B13)</f>
        <v/>
      </c>
      <c r="C22" s="52">
        <f>IF(C13=0,0,C21/C13)</f>
        <v/>
      </c>
      <c r="D22" s="52">
        <f>IF(D13=0,0,D21/D13)</f>
        <v/>
      </c>
      <c r="E22" s="52">
        <f>IF(E13=0,0,E21/E13)</f>
        <v/>
      </c>
      <c r="F22" s="52">
        <f>IF(F13=0,0,F21/F13)</f>
        <v/>
      </c>
      <c r="G22" s="52">
        <f>IF(G13=0,0,G21/G13)</f>
        <v/>
      </c>
      <c r="H22" s="52">
        <f>IF(H13=0,0,H21/H13)</f>
        <v/>
      </c>
      <c r="I22" s="52">
        <f>IF(I13=0,0,I21/I13)</f>
        <v/>
      </c>
      <c r="J22" s="52">
        <f>IF(J13=0,0,J21/J13)</f>
        <v/>
      </c>
      <c r="K22" s="52">
        <f>IF(K13=0,0,K21/K13)</f>
        <v/>
      </c>
      <c r="L22" s="52">
        <f>IF(L13=0,0,L21/L13)</f>
        <v/>
      </c>
      <c r="M22" s="52">
        <f>IF(M13=0,0,M21/M13)</f>
        <v/>
      </c>
      <c r="N22" s="52">
        <f>IF(N13=0,0,N21/N13)</f>
        <v/>
      </c>
      <c r="O22" s="52">
        <f>IF(O13=0,0,O21/O13)</f>
        <v/>
      </c>
      <c r="P22" s="52">
        <f>IF(P13=0,0,P21/P13)</f>
        <v/>
      </c>
      <c r="Q22" s="52">
        <f>IF(Q13=0,0,Q21/Q13)</f>
        <v/>
      </c>
      <c r="R22" s="52">
        <f>IF(R13=0,0,R21/R13)</f>
        <v/>
      </c>
      <c r="S22" s="52">
        <f>IF(S13=0,0,S21/S13)</f>
        <v/>
      </c>
      <c r="T22" s="52">
        <f>IF(T13=0,0,T21/T13)</f>
        <v/>
      </c>
      <c r="U22" s="52">
        <f>IF(U13=0,0,U21/U13)</f>
        <v/>
      </c>
      <c r="V22" s="52">
        <f>IF(V13=0,0,V21/V13)</f>
        <v/>
      </c>
      <c r="W22" s="52">
        <f>IF(W13=0,0,W21/W13)</f>
        <v/>
      </c>
      <c r="X22" s="52">
        <f>IF(X13=0,0,X21/X13)</f>
        <v/>
      </c>
      <c r="Y22" s="52">
        <f>IF(Y13=0,0,Y21/Y13)</f>
        <v/>
      </c>
      <c r="Z22" s="52">
        <f>IF(Z13=0,0,Z21/Z13)</f>
        <v/>
      </c>
      <c r="AA22" s="52">
        <f>IF(AA13=0,0,AA21/AA13)</f>
        <v/>
      </c>
      <c r="AB22" s="52">
        <f>IF(AB13=0,0,AB21/AB13)</f>
        <v/>
      </c>
      <c r="AC22" s="52">
        <f>IF(AC13=0,0,AC21/AC13)</f>
        <v/>
      </c>
      <c r="AD22" s="52">
        <f>IF(AD13=0,0,AD21/AD13)</f>
        <v/>
      </c>
      <c r="AE22" s="52">
        <f>IF(AE13=0,0,AE21/AE13)</f>
        <v/>
      </c>
      <c r="AF22" s="52">
        <f>IF(AF13=0,0,AF21/AF13)</f>
        <v/>
      </c>
      <c r="AG22" s="52">
        <f>IF(AG13=0,0,AG21/AG13)</f>
        <v/>
      </c>
      <c r="AH22" s="52">
        <f>IF(AH13=0,0,AH21/AH13)</f>
        <v/>
      </c>
      <c r="AI22" s="52">
        <f>IF(AI13=0,0,AI21/AI13)</f>
        <v/>
      </c>
      <c r="AJ22" s="52">
        <f>IF(AJ13=0,0,AJ21/AJ13)</f>
        <v/>
      </c>
      <c r="AK22" s="52">
        <f>IF(AK13=0,0,AK21/AK13)</f>
        <v/>
      </c>
      <c r="AL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</row>
    <row r="24">
      <c r="A24" s="42" t="inlineStr">
        <is>
          <t>ПОСТОЯННЫЕ РАСХОДЫ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  <c r="AD24" s="43" t="n"/>
      <c r="AE24" s="43" t="n"/>
      <c r="AF24" s="43" t="n"/>
      <c r="AG24" s="43" t="n"/>
      <c r="AH24" s="43" t="n"/>
      <c r="AI24" s="43" t="n"/>
      <c r="AJ24" s="43" t="n"/>
      <c r="AK24" s="43" t="n"/>
      <c r="AL24" s="43" t="n"/>
    </row>
    <row r="25">
      <c r="A25" s="40" t="inlineStr">
        <is>
          <t xml:space="preserve">   Оплата труда: производство</t>
        </is>
      </c>
      <c r="B25" s="41">
        <f>-Вводные!$D$25*(1+Вводные!$B$27)*(1+Вводные!$B$28)^INT(0/12)</f>
        <v/>
      </c>
      <c r="C25" s="41">
        <f>-Вводные!$D$25*(1+Вводные!$B$27)*(1+Вводные!$B$28)^INT(1/12)</f>
        <v/>
      </c>
      <c r="D25" s="41">
        <f>-Вводные!$D$25*(1+Вводные!$B$27)*(1+Вводные!$B$28)^INT(2/12)</f>
        <v/>
      </c>
      <c r="E25" s="41">
        <f>-Вводные!$D$25*(1+Вводные!$B$27)*(1+Вводные!$B$28)^INT(3/12)</f>
        <v/>
      </c>
      <c r="F25" s="41">
        <f>-Вводные!$D$25*(1+Вводные!$B$27)*(1+Вводные!$B$28)^INT(4/12)</f>
        <v/>
      </c>
      <c r="G25" s="41">
        <f>-Вводные!$D$25*(1+Вводные!$B$27)*(1+Вводные!$B$28)^INT(5/12)</f>
        <v/>
      </c>
      <c r="H25" s="41">
        <f>-Вводные!$D$25*(1+Вводные!$B$27)*(1+Вводные!$B$28)^INT(6/12)</f>
        <v/>
      </c>
      <c r="I25" s="41">
        <f>-Вводные!$D$25*(1+Вводные!$B$27)*(1+Вводные!$B$28)^INT(7/12)</f>
        <v/>
      </c>
      <c r="J25" s="41">
        <f>-Вводные!$D$25*(1+Вводные!$B$27)*(1+Вводные!$B$28)^INT(8/12)</f>
        <v/>
      </c>
      <c r="K25" s="41">
        <f>-Вводные!$D$25*(1+Вводные!$B$27)*(1+Вводные!$B$28)^INT(9/12)</f>
        <v/>
      </c>
      <c r="L25" s="41">
        <f>-Вводные!$D$25*(1+Вводные!$B$27)*(1+Вводные!$B$28)^INT(10/12)</f>
        <v/>
      </c>
      <c r="M25" s="41">
        <f>-Вводные!$D$25*(1+Вводные!$B$27)*(1+Вводные!$B$28)^INT(11/12)</f>
        <v/>
      </c>
      <c r="N25" s="41">
        <f>-Вводные!$D$25*(1+Вводные!$B$27)*(1+Вводные!$B$28)^INT(12/12)</f>
        <v/>
      </c>
      <c r="O25" s="41">
        <f>-Вводные!$D$25*(1+Вводные!$B$27)*(1+Вводные!$B$28)^INT(13/12)</f>
        <v/>
      </c>
      <c r="P25" s="41">
        <f>-Вводные!$D$25*(1+Вводные!$B$27)*(1+Вводные!$B$28)^INT(14/12)</f>
        <v/>
      </c>
      <c r="Q25" s="41">
        <f>-Вводные!$D$25*(1+Вводные!$B$27)*(1+Вводные!$B$28)^INT(15/12)</f>
        <v/>
      </c>
      <c r="R25" s="41">
        <f>-Вводные!$D$25*(1+Вводные!$B$27)*(1+Вводные!$B$28)^INT(16/12)</f>
        <v/>
      </c>
      <c r="S25" s="41">
        <f>-Вводные!$D$25*(1+Вводные!$B$27)*(1+Вводные!$B$28)^INT(17/12)</f>
        <v/>
      </c>
      <c r="T25" s="41">
        <f>-Вводные!$D$25*(1+Вводные!$B$27)*(1+Вводные!$B$28)^INT(18/12)</f>
        <v/>
      </c>
      <c r="U25" s="41">
        <f>-Вводные!$D$25*(1+Вводные!$B$27)*(1+Вводные!$B$28)^INT(19/12)</f>
        <v/>
      </c>
      <c r="V25" s="41">
        <f>-Вводные!$D$25*(1+Вводные!$B$27)*(1+Вводные!$B$28)^INT(20/12)</f>
        <v/>
      </c>
      <c r="W25" s="41">
        <f>-Вводные!$D$25*(1+Вводные!$B$27)*(1+Вводные!$B$28)^INT(21/12)</f>
        <v/>
      </c>
      <c r="X25" s="41">
        <f>-Вводные!$D$25*(1+Вводные!$B$27)*(1+Вводные!$B$28)^INT(22/12)</f>
        <v/>
      </c>
      <c r="Y25" s="41">
        <f>-Вводные!$D$25*(1+Вводные!$B$27)*(1+Вводные!$B$28)^INT(23/12)</f>
        <v/>
      </c>
      <c r="Z25" s="41">
        <f>-Вводные!$D$25*(1+Вводные!$B$27)*(1+Вводные!$B$28)^INT(24/12)</f>
        <v/>
      </c>
      <c r="AA25" s="41">
        <f>-Вводные!$D$25*(1+Вводные!$B$27)*(1+Вводные!$B$28)^INT(25/12)</f>
        <v/>
      </c>
      <c r="AB25" s="41">
        <f>-Вводные!$D$25*(1+Вводные!$B$27)*(1+Вводные!$B$28)^INT(26/12)</f>
        <v/>
      </c>
      <c r="AC25" s="41">
        <f>-Вводные!$D$25*(1+Вводные!$B$27)*(1+Вводные!$B$28)^INT(27/12)</f>
        <v/>
      </c>
      <c r="AD25" s="41">
        <f>-Вводные!$D$25*(1+Вводные!$B$27)*(1+Вводные!$B$28)^INT(28/12)</f>
        <v/>
      </c>
      <c r="AE25" s="41">
        <f>-Вводные!$D$25*(1+Вводные!$B$27)*(1+Вводные!$B$28)^INT(29/12)</f>
        <v/>
      </c>
      <c r="AF25" s="41">
        <f>-Вводные!$D$25*(1+Вводные!$B$27)*(1+Вводные!$B$28)^INT(30/12)</f>
        <v/>
      </c>
      <c r="AG25" s="41">
        <f>-Вводные!$D$25*(1+Вводные!$B$27)*(1+Вводные!$B$28)^INT(31/12)</f>
        <v/>
      </c>
      <c r="AH25" s="41">
        <f>-Вводные!$D$25*(1+Вводные!$B$27)*(1+Вводные!$B$28)^INT(32/12)</f>
        <v/>
      </c>
      <c r="AI25" s="41">
        <f>-Вводные!$D$25*(1+Вводные!$B$27)*(1+Вводные!$B$28)^INT(33/12)</f>
        <v/>
      </c>
      <c r="AJ25" s="41">
        <f>-Вводные!$D$25*(1+Вводные!$B$27)*(1+Вводные!$B$28)^INT(34/12)</f>
        <v/>
      </c>
      <c r="AK25" s="41">
        <f>-Вводные!$D$25*(1+Вводные!$B$27)*(1+Вводные!$B$28)^INT(35/12)</f>
        <v/>
      </c>
      <c r="AL25" s="39">
        <f>SUM(B25:AK25)</f>
        <v/>
      </c>
    </row>
    <row r="26">
      <c r="A26" s="40" t="inlineStr">
        <is>
          <t xml:space="preserve">   Оплата труда: администрация</t>
        </is>
      </c>
      <c r="B26" s="41">
        <f>-Вводные!$D$26*(1+Вводные!$B$27)*(1+Вводные!$B$28)^INT(0/12)</f>
        <v/>
      </c>
      <c r="C26" s="41">
        <f>-Вводные!$D$26*(1+Вводные!$B$27)*(1+Вводные!$B$28)^INT(1/12)</f>
        <v/>
      </c>
      <c r="D26" s="41">
        <f>-Вводные!$D$26*(1+Вводные!$B$27)*(1+Вводные!$B$28)^INT(2/12)</f>
        <v/>
      </c>
      <c r="E26" s="41">
        <f>-Вводные!$D$26*(1+Вводные!$B$27)*(1+Вводные!$B$28)^INT(3/12)</f>
        <v/>
      </c>
      <c r="F26" s="41">
        <f>-Вводные!$D$26*(1+Вводные!$B$27)*(1+Вводные!$B$28)^INT(4/12)</f>
        <v/>
      </c>
      <c r="G26" s="41">
        <f>-Вводные!$D$26*(1+Вводные!$B$27)*(1+Вводные!$B$28)^INT(5/12)</f>
        <v/>
      </c>
      <c r="H26" s="41">
        <f>-Вводные!$D$26*(1+Вводные!$B$27)*(1+Вводные!$B$28)^INT(6/12)</f>
        <v/>
      </c>
      <c r="I26" s="41">
        <f>-Вводные!$D$26*(1+Вводные!$B$27)*(1+Вводные!$B$28)^INT(7/12)</f>
        <v/>
      </c>
      <c r="J26" s="41">
        <f>-Вводные!$D$26*(1+Вводные!$B$27)*(1+Вводные!$B$28)^INT(8/12)</f>
        <v/>
      </c>
      <c r="K26" s="41">
        <f>-Вводные!$D$26*(1+Вводные!$B$27)*(1+Вводные!$B$28)^INT(9/12)</f>
        <v/>
      </c>
      <c r="L26" s="41">
        <f>-Вводные!$D$26*(1+Вводные!$B$27)*(1+Вводные!$B$28)^INT(10/12)</f>
        <v/>
      </c>
      <c r="M26" s="41">
        <f>-Вводные!$D$26*(1+Вводные!$B$27)*(1+Вводные!$B$28)^INT(11/12)</f>
        <v/>
      </c>
      <c r="N26" s="41">
        <f>-Вводные!$D$26*(1+Вводные!$B$27)*(1+Вводные!$B$28)^INT(12/12)</f>
        <v/>
      </c>
      <c r="O26" s="41">
        <f>-Вводные!$D$26*(1+Вводные!$B$27)*(1+Вводные!$B$28)^INT(13/12)</f>
        <v/>
      </c>
      <c r="P26" s="41">
        <f>-Вводные!$D$26*(1+Вводные!$B$27)*(1+Вводные!$B$28)^INT(14/12)</f>
        <v/>
      </c>
      <c r="Q26" s="41">
        <f>-Вводные!$D$26*(1+Вводные!$B$27)*(1+Вводные!$B$28)^INT(15/12)</f>
        <v/>
      </c>
      <c r="R26" s="41">
        <f>-Вводные!$D$26*(1+Вводные!$B$27)*(1+Вводные!$B$28)^INT(16/12)</f>
        <v/>
      </c>
      <c r="S26" s="41">
        <f>-Вводные!$D$26*(1+Вводные!$B$27)*(1+Вводные!$B$28)^INT(17/12)</f>
        <v/>
      </c>
      <c r="T26" s="41">
        <f>-Вводные!$D$26*(1+Вводные!$B$27)*(1+Вводные!$B$28)^INT(18/12)</f>
        <v/>
      </c>
      <c r="U26" s="41">
        <f>-Вводные!$D$26*(1+Вводные!$B$27)*(1+Вводные!$B$28)^INT(19/12)</f>
        <v/>
      </c>
      <c r="V26" s="41">
        <f>-Вводные!$D$26*(1+Вводные!$B$27)*(1+Вводные!$B$28)^INT(20/12)</f>
        <v/>
      </c>
      <c r="W26" s="41">
        <f>-Вводные!$D$26*(1+Вводные!$B$27)*(1+Вводные!$B$28)^INT(21/12)</f>
        <v/>
      </c>
      <c r="X26" s="41">
        <f>-Вводные!$D$26*(1+Вводные!$B$27)*(1+Вводные!$B$28)^INT(22/12)</f>
        <v/>
      </c>
      <c r="Y26" s="41">
        <f>-Вводные!$D$26*(1+Вводные!$B$27)*(1+Вводные!$B$28)^INT(23/12)</f>
        <v/>
      </c>
      <c r="Z26" s="41">
        <f>-Вводные!$D$26*(1+Вводные!$B$27)*(1+Вводные!$B$28)^INT(24/12)</f>
        <v/>
      </c>
      <c r="AA26" s="41">
        <f>-Вводные!$D$26*(1+Вводные!$B$27)*(1+Вводные!$B$28)^INT(25/12)</f>
        <v/>
      </c>
      <c r="AB26" s="41">
        <f>-Вводные!$D$26*(1+Вводные!$B$27)*(1+Вводные!$B$28)^INT(26/12)</f>
        <v/>
      </c>
      <c r="AC26" s="41">
        <f>-Вводные!$D$26*(1+Вводные!$B$27)*(1+Вводные!$B$28)^INT(27/12)</f>
        <v/>
      </c>
      <c r="AD26" s="41">
        <f>-Вводные!$D$26*(1+Вводные!$B$27)*(1+Вводные!$B$28)^INT(28/12)</f>
        <v/>
      </c>
      <c r="AE26" s="41">
        <f>-Вводные!$D$26*(1+Вводные!$B$27)*(1+Вводные!$B$28)^INT(29/12)</f>
        <v/>
      </c>
      <c r="AF26" s="41">
        <f>-Вводные!$D$26*(1+Вводные!$B$27)*(1+Вводные!$B$28)^INT(30/12)</f>
        <v/>
      </c>
      <c r="AG26" s="41">
        <f>-Вводные!$D$26*(1+Вводные!$B$27)*(1+Вводные!$B$28)^INT(31/12)</f>
        <v/>
      </c>
      <c r="AH26" s="41">
        <f>-Вводные!$D$26*(1+Вводные!$B$27)*(1+Вводные!$B$28)^INT(32/12)</f>
        <v/>
      </c>
      <c r="AI26" s="41">
        <f>-Вводные!$D$26*(1+Вводные!$B$27)*(1+Вводные!$B$28)^INT(33/12)</f>
        <v/>
      </c>
      <c r="AJ26" s="41">
        <f>-Вводные!$D$26*(1+Вводные!$B$27)*(1+Вводные!$B$28)^INT(34/12)</f>
        <v/>
      </c>
      <c r="AK26" s="41">
        <f>-Вводные!$D$26*(1+Вводные!$B$27)*(1+Вводные!$B$28)^INT(35/12)</f>
        <v/>
      </c>
      <c r="AL26" s="39">
        <f>SUM(B26:AK26)</f>
        <v/>
      </c>
    </row>
    <row r="27">
      <c r="A27" s="40" t="inlineStr">
        <is>
          <t xml:space="preserve">   Аренда цеха и склада</t>
        </is>
      </c>
      <c r="B27" s="41">
        <f>-Вводные!$B$31</f>
        <v/>
      </c>
      <c r="C27" s="41">
        <f>-Вводные!$B$31</f>
        <v/>
      </c>
      <c r="D27" s="41">
        <f>-Вводные!$B$31</f>
        <v/>
      </c>
      <c r="E27" s="41">
        <f>-Вводные!$B$31</f>
        <v/>
      </c>
      <c r="F27" s="41">
        <f>-Вводные!$B$31</f>
        <v/>
      </c>
      <c r="G27" s="41">
        <f>-Вводные!$B$31</f>
        <v/>
      </c>
      <c r="H27" s="41">
        <f>-Вводные!$B$31</f>
        <v/>
      </c>
      <c r="I27" s="41">
        <f>-Вводные!$B$31</f>
        <v/>
      </c>
      <c r="J27" s="41">
        <f>-Вводные!$B$31</f>
        <v/>
      </c>
      <c r="K27" s="41">
        <f>-Вводные!$B$31</f>
        <v/>
      </c>
      <c r="L27" s="41">
        <f>-Вводные!$B$31</f>
        <v/>
      </c>
      <c r="M27" s="41">
        <f>-Вводные!$B$31</f>
        <v/>
      </c>
      <c r="N27" s="41">
        <f>-Вводные!$B$31</f>
        <v/>
      </c>
      <c r="O27" s="41">
        <f>-Вводные!$B$31</f>
        <v/>
      </c>
      <c r="P27" s="41">
        <f>-Вводные!$B$31</f>
        <v/>
      </c>
      <c r="Q27" s="41">
        <f>-Вводные!$B$31</f>
        <v/>
      </c>
      <c r="R27" s="41">
        <f>-Вводные!$B$31</f>
        <v/>
      </c>
      <c r="S27" s="41">
        <f>-Вводные!$B$31</f>
        <v/>
      </c>
      <c r="T27" s="41">
        <f>-Вводные!$B$31</f>
        <v/>
      </c>
      <c r="U27" s="41">
        <f>-Вводные!$B$31</f>
        <v/>
      </c>
      <c r="V27" s="41">
        <f>-Вводные!$B$31</f>
        <v/>
      </c>
      <c r="W27" s="41">
        <f>-Вводные!$B$31</f>
        <v/>
      </c>
      <c r="X27" s="41">
        <f>-Вводные!$B$31</f>
        <v/>
      </c>
      <c r="Y27" s="41">
        <f>-Вводные!$B$31</f>
        <v/>
      </c>
      <c r="Z27" s="41">
        <f>-Вводные!$B$31</f>
        <v/>
      </c>
      <c r="AA27" s="41">
        <f>-Вводные!$B$31</f>
        <v/>
      </c>
      <c r="AB27" s="41">
        <f>-Вводные!$B$31</f>
        <v/>
      </c>
      <c r="AC27" s="41">
        <f>-Вводные!$B$31</f>
        <v/>
      </c>
      <c r="AD27" s="41">
        <f>-Вводные!$B$31</f>
        <v/>
      </c>
      <c r="AE27" s="41">
        <f>-Вводные!$B$31</f>
        <v/>
      </c>
      <c r="AF27" s="41">
        <f>-Вводные!$B$31</f>
        <v/>
      </c>
      <c r="AG27" s="41">
        <f>-Вводные!$B$31</f>
        <v/>
      </c>
      <c r="AH27" s="41">
        <f>-Вводные!$B$31</f>
        <v/>
      </c>
      <c r="AI27" s="41">
        <f>-Вводные!$B$31</f>
        <v/>
      </c>
      <c r="AJ27" s="41">
        <f>-Вводные!$B$31</f>
        <v/>
      </c>
      <c r="AK27" s="41">
        <f>-Вводные!$B$31</f>
        <v/>
      </c>
      <c r="AL27" s="39">
        <f>SUM(B27:AK27)</f>
        <v/>
      </c>
    </row>
    <row r="28">
      <c r="A28" s="40" t="inlineStr">
        <is>
          <t xml:space="preserve">   Коммунальные услуги</t>
        </is>
      </c>
      <c r="B28" s="41">
        <f>-Вводные!$B$32</f>
        <v/>
      </c>
      <c r="C28" s="41">
        <f>-Вводные!$B$32</f>
        <v/>
      </c>
      <c r="D28" s="41">
        <f>-Вводные!$B$32</f>
        <v/>
      </c>
      <c r="E28" s="41">
        <f>-Вводные!$B$32</f>
        <v/>
      </c>
      <c r="F28" s="41">
        <f>-Вводные!$B$32</f>
        <v/>
      </c>
      <c r="G28" s="41">
        <f>-Вводные!$B$32</f>
        <v/>
      </c>
      <c r="H28" s="41">
        <f>-Вводные!$B$32</f>
        <v/>
      </c>
      <c r="I28" s="41">
        <f>-Вводные!$B$32</f>
        <v/>
      </c>
      <c r="J28" s="41">
        <f>-Вводные!$B$32</f>
        <v/>
      </c>
      <c r="K28" s="41">
        <f>-Вводные!$B$32</f>
        <v/>
      </c>
      <c r="L28" s="41">
        <f>-Вводные!$B$32</f>
        <v/>
      </c>
      <c r="M28" s="41">
        <f>-Вводные!$B$32</f>
        <v/>
      </c>
      <c r="N28" s="41">
        <f>-Вводные!$B$32</f>
        <v/>
      </c>
      <c r="O28" s="41">
        <f>-Вводные!$B$32</f>
        <v/>
      </c>
      <c r="P28" s="41">
        <f>-Вводные!$B$32</f>
        <v/>
      </c>
      <c r="Q28" s="41">
        <f>-Вводные!$B$32</f>
        <v/>
      </c>
      <c r="R28" s="41">
        <f>-Вводные!$B$32</f>
        <v/>
      </c>
      <c r="S28" s="41">
        <f>-Вводные!$B$32</f>
        <v/>
      </c>
      <c r="T28" s="41">
        <f>-Вводные!$B$32</f>
        <v/>
      </c>
      <c r="U28" s="41">
        <f>-Вводные!$B$32</f>
        <v/>
      </c>
      <c r="V28" s="41">
        <f>-Вводные!$B$32</f>
        <v/>
      </c>
      <c r="W28" s="41">
        <f>-Вводные!$B$32</f>
        <v/>
      </c>
      <c r="X28" s="41">
        <f>-Вводные!$B$32</f>
        <v/>
      </c>
      <c r="Y28" s="41">
        <f>-Вводные!$B$32</f>
        <v/>
      </c>
      <c r="Z28" s="41">
        <f>-Вводные!$B$32</f>
        <v/>
      </c>
      <c r="AA28" s="41">
        <f>-Вводные!$B$32</f>
        <v/>
      </c>
      <c r="AB28" s="41">
        <f>-Вводные!$B$32</f>
        <v/>
      </c>
      <c r="AC28" s="41">
        <f>-Вводные!$B$32</f>
        <v/>
      </c>
      <c r="AD28" s="41">
        <f>-Вводные!$B$32</f>
        <v/>
      </c>
      <c r="AE28" s="41">
        <f>-Вводные!$B$32</f>
        <v/>
      </c>
      <c r="AF28" s="41">
        <f>-Вводные!$B$32</f>
        <v/>
      </c>
      <c r="AG28" s="41">
        <f>-Вводные!$B$32</f>
        <v/>
      </c>
      <c r="AH28" s="41">
        <f>-Вводные!$B$32</f>
        <v/>
      </c>
      <c r="AI28" s="41">
        <f>-Вводные!$B$32</f>
        <v/>
      </c>
      <c r="AJ28" s="41">
        <f>-Вводные!$B$32</f>
        <v/>
      </c>
      <c r="AK28" s="41">
        <f>-Вводные!$B$32</f>
        <v/>
      </c>
      <c r="AL28" s="39">
        <f>SUM(B28:AK28)</f>
        <v/>
      </c>
    </row>
    <row r="29">
      <c r="A29" s="40" t="inlineStr">
        <is>
          <t xml:space="preserve">   Обслуживание оборудования</t>
        </is>
      </c>
      <c r="B29" s="41">
        <f>-Вводные!$B$33</f>
        <v/>
      </c>
      <c r="C29" s="41">
        <f>-Вводные!$B$33</f>
        <v/>
      </c>
      <c r="D29" s="41">
        <f>-Вводные!$B$33</f>
        <v/>
      </c>
      <c r="E29" s="41">
        <f>-Вводные!$B$33</f>
        <v/>
      </c>
      <c r="F29" s="41">
        <f>-Вводные!$B$33</f>
        <v/>
      </c>
      <c r="G29" s="41">
        <f>-Вводные!$B$33</f>
        <v/>
      </c>
      <c r="H29" s="41">
        <f>-Вводные!$B$33</f>
        <v/>
      </c>
      <c r="I29" s="41">
        <f>-Вводные!$B$33</f>
        <v/>
      </c>
      <c r="J29" s="41">
        <f>-Вводные!$B$33</f>
        <v/>
      </c>
      <c r="K29" s="41">
        <f>-Вводные!$B$33</f>
        <v/>
      </c>
      <c r="L29" s="41">
        <f>-Вводные!$B$33</f>
        <v/>
      </c>
      <c r="M29" s="41">
        <f>-Вводные!$B$33</f>
        <v/>
      </c>
      <c r="N29" s="41">
        <f>-Вводные!$B$33</f>
        <v/>
      </c>
      <c r="O29" s="41">
        <f>-Вводные!$B$33</f>
        <v/>
      </c>
      <c r="P29" s="41">
        <f>-Вводные!$B$33</f>
        <v/>
      </c>
      <c r="Q29" s="41">
        <f>-Вводные!$B$33</f>
        <v/>
      </c>
      <c r="R29" s="41">
        <f>-Вводные!$B$33</f>
        <v/>
      </c>
      <c r="S29" s="41">
        <f>-Вводные!$B$33</f>
        <v/>
      </c>
      <c r="T29" s="41">
        <f>-Вводные!$B$33</f>
        <v/>
      </c>
      <c r="U29" s="41">
        <f>-Вводные!$B$33</f>
        <v/>
      </c>
      <c r="V29" s="41">
        <f>-Вводные!$B$33</f>
        <v/>
      </c>
      <c r="W29" s="41">
        <f>-Вводные!$B$33</f>
        <v/>
      </c>
      <c r="X29" s="41">
        <f>-Вводные!$B$33</f>
        <v/>
      </c>
      <c r="Y29" s="41">
        <f>-Вводные!$B$33</f>
        <v/>
      </c>
      <c r="Z29" s="41">
        <f>-Вводные!$B$33</f>
        <v/>
      </c>
      <c r="AA29" s="41">
        <f>-Вводные!$B$33</f>
        <v/>
      </c>
      <c r="AB29" s="41">
        <f>-Вводные!$B$33</f>
        <v/>
      </c>
      <c r="AC29" s="41">
        <f>-Вводные!$B$33</f>
        <v/>
      </c>
      <c r="AD29" s="41">
        <f>-Вводные!$B$33</f>
        <v/>
      </c>
      <c r="AE29" s="41">
        <f>-Вводные!$B$33</f>
        <v/>
      </c>
      <c r="AF29" s="41">
        <f>-Вводные!$B$33</f>
        <v/>
      </c>
      <c r="AG29" s="41">
        <f>-Вводные!$B$33</f>
        <v/>
      </c>
      <c r="AH29" s="41">
        <f>-Вводные!$B$33</f>
        <v/>
      </c>
      <c r="AI29" s="41">
        <f>-Вводные!$B$33</f>
        <v/>
      </c>
      <c r="AJ29" s="41">
        <f>-Вводные!$B$33</f>
        <v/>
      </c>
      <c r="AK29" s="41">
        <f>-Вводные!$B$33</f>
        <v/>
      </c>
      <c r="AL29" s="39">
        <f>SUM(B29:AK29)</f>
        <v/>
      </c>
    </row>
    <row r="30">
      <c r="A30" s="40" t="inlineStr">
        <is>
          <t xml:space="preserve">   Связь, ПО, бухгалтерское обслуживание</t>
        </is>
      </c>
      <c r="B30" s="41">
        <f>-Вводные!$B$34</f>
        <v/>
      </c>
      <c r="C30" s="41">
        <f>-Вводные!$B$34</f>
        <v/>
      </c>
      <c r="D30" s="41">
        <f>-Вводные!$B$34</f>
        <v/>
      </c>
      <c r="E30" s="41">
        <f>-Вводные!$B$34</f>
        <v/>
      </c>
      <c r="F30" s="41">
        <f>-Вводные!$B$34</f>
        <v/>
      </c>
      <c r="G30" s="41">
        <f>-Вводные!$B$34</f>
        <v/>
      </c>
      <c r="H30" s="41">
        <f>-Вводные!$B$34</f>
        <v/>
      </c>
      <c r="I30" s="41">
        <f>-Вводные!$B$34</f>
        <v/>
      </c>
      <c r="J30" s="41">
        <f>-Вводные!$B$34</f>
        <v/>
      </c>
      <c r="K30" s="41">
        <f>-Вводные!$B$34</f>
        <v/>
      </c>
      <c r="L30" s="41">
        <f>-Вводные!$B$34</f>
        <v/>
      </c>
      <c r="M30" s="41">
        <f>-Вводные!$B$34</f>
        <v/>
      </c>
      <c r="N30" s="41">
        <f>-Вводные!$B$34</f>
        <v/>
      </c>
      <c r="O30" s="41">
        <f>-Вводные!$B$34</f>
        <v/>
      </c>
      <c r="P30" s="41">
        <f>-Вводные!$B$34</f>
        <v/>
      </c>
      <c r="Q30" s="41">
        <f>-Вводные!$B$34</f>
        <v/>
      </c>
      <c r="R30" s="41">
        <f>-Вводные!$B$34</f>
        <v/>
      </c>
      <c r="S30" s="41">
        <f>-Вводные!$B$34</f>
        <v/>
      </c>
      <c r="T30" s="41">
        <f>-Вводные!$B$34</f>
        <v/>
      </c>
      <c r="U30" s="41">
        <f>-Вводные!$B$34</f>
        <v/>
      </c>
      <c r="V30" s="41">
        <f>-Вводные!$B$34</f>
        <v/>
      </c>
      <c r="W30" s="41">
        <f>-Вводные!$B$34</f>
        <v/>
      </c>
      <c r="X30" s="41">
        <f>-Вводные!$B$34</f>
        <v/>
      </c>
      <c r="Y30" s="41">
        <f>-Вводные!$B$34</f>
        <v/>
      </c>
      <c r="Z30" s="41">
        <f>-Вводные!$B$34</f>
        <v/>
      </c>
      <c r="AA30" s="41">
        <f>-Вводные!$B$34</f>
        <v/>
      </c>
      <c r="AB30" s="41">
        <f>-Вводные!$B$34</f>
        <v/>
      </c>
      <c r="AC30" s="41">
        <f>-Вводные!$B$34</f>
        <v/>
      </c>
      <c r="AD30" s="41">
        <f>-Вводные!$B$34</f>
        <v/>
      </c>
      <c r="AE30" s="41">
        <f>-Вводные!$B$34</f>
        <v/>
      </c>
      <c r="AF30" s="41">
        <f>-Вводные!$B$34</f>
        <v/>
      </c>
      <c r="AG30" s="41">
        <f>-Вводные!$B$34</f>
        <v/>
      </c>
      <c r="AH30" s="41">
        <f>-Вводные!$B$34</f>
        <v/>
      </c>
      <c r="AI30" s="41">
        <f>-Вводные!$B$34</f>
        <v/>
      </c>
      <c r="AJ30" s="41">
        <f>-Вводные!$B$34</f>
        <v/>
      </c>
      <c r="AK30" s="41">
        <f>-Вводные!$B$34</f>
        <v/>
      </c>
      <c r="AL30" s="39">
        <f>SUM(B30:AK30)</f>
        <v/>
      </c>
    </row>
    <row r="31">
      <c r="A31" s="40" t="inlineStr">
        <is>
          <t xml:space="preserve">   Прочие постоянные</t>
        </is>
      </c>
      <c r="B31" s="41">
        <f>-Вводные!$B$35</f>
        <v/>
      </c>
      <c r="C31" s="41">
        <f>-Вводные!$B$35</f>
        <v/>
      </c>
      <c r="D31" s="41">
        <f>-Вводные!$B$35</f>
        <v/>
      </c>
      <c r="E31" s="41">
        <f>-Вводные!$B$35</f>
        <v/>
      </c>
      <c r="F31" s="41">
        <f>-Вводные!$B$35</f>
        <v/>
      </c>
      <c r="G31" s="41">
        <f>-Вводные!$B$35</f>
        <v/>
      </c>
      <c r="H31" s="41">
        <f>-Вводные!$B$35</f>
        <v/>
      </c>
      <c r="I31" s="41">
        <f>-Вводные!$B$35</f>
        <v/>
      </c>
      <c r="J31" s="41">
        <f>-Вводные!$B$35</f>
        <v/>
      </c>
      <c r="K31" s="41">
        <f>-Вводные!$B$35</f>
        <v/>
      </c>
      <c r="L31" s="41">
        <f>-Вводные!$B$35</f>
        <v/>
      </c>
      <c r="M31" s="41">
        <f>-Вводные!$B$35</f>
        <v/>
      </c>
      <c r="N31" s="41">
        <f>-Вводные!$B$35</f>
        <v/>
      </c>
      <c r="O31" s="41">
        <f>-Вводные!$B$35</f>
        <v/>
      </c>
      <c r="P31" s="41">
        <f>-Вводные!$B$35</f>
        <v/>
      </c>
      <c r="Q31" s="41">
        <f>-Вводные!$B$35</f>
        <v/>
      </c>
      <c r="R31" s="41">
        <f>-Вводные!$B$35</f>
        <v/>
      </c>
      <c r="S31" s="41">
        <f>-Вводные!$B$35</f>
        <v/>
      </c>
      <c r="T31" s="41">
        <f>-Вводные!$B$35</f>
        <v/>
      </c>
      <c r="U31" s="41">
        <f>-Вводные!$B$35</f>
        <v/>
      </c>
      <c r="V31" s="41">
        <f>-Вводные!$B$35</f>
        <v/>
      </c>
      <c r="W31" s="41">
        <f>-Вводные!$B$35</f>
        <v/>
      </c>
      <c r="X31" s="41">
        <f>-Вводные!$B$35</f>
        <v/>
      </c>
      <c r="Y31" s="41">
        <f>-Вводные!$B$35</f>
        <v/>
      </c>
      <c r="Z31" s="41">
        <f>-Вводные!$B$35</f>
        <v/>
      </c>
      <c r="AA31" s="41">
        <f>-Вводные!$B$35</f>
        <v/>
      </c>
      <c r="AB31" s="41">
        <f>-Вводные!$B$35</f>
        <v/>
      </c>
      <c r="AC31" s="41">
        <f>-Вводные!$B$35</f>
        <v/>
      </c>
      <c r="AD31" s="41">
        <f>-Вводные!$B$35</f>
        <v/>
      </c>
      <c r="AE31" s="41">
        <f>-Вводные!$B$35</f>
        <v/>
      </c>
      <c r="AF31" s="41">
        <f>-Вводные!$B$35</f>
        <v/>
      </c>
      <c r="AG31" s="41">
        <f>-Вводные!$B$35</f>
        <v/>
      </c>
      <c r="AH31" s="41">
        <f>-Вводные!$B$35</f>
        <v/>
      </c>
      <c r="AI31" s="41">
        <f>-Вводные!$B$35</f>
        <v/>
      </c>
      <c r="AJ31" s="41">
        <f>-Вводные!$B$35</f>
        <v/>
      </c>
      <c r="AK31" s="41">
        <f>-Вводные!$B$35</f>
        <v/>
      </c>
      <c r="AL31" s="39">
        <f>SUM(B31:AK31)</f>
        <v/>
      </c>
    </row>
    <row r="32">
      <c r="A32" s="38" t="inlineStr">
        <is>
          <t>Итого постоянные расходы</t>
        </is>
      </c>
      <c r="B32" s="39">
        <f>SUM(B25:B31)</f>
        <v/>
      </c>
      <c r="C32" s="39">
        <f>SUM(C25:C31)</f>
        <v/>
      </c>
      <c r="D32" s="39">
        <f>SUM(D25:D31)</f>
        <v/>
      </c>
      <c r="E32" s="39">
        <f>SUM(E25:E31)</f>
        <v/>
      </c>
      <c r="F32" s="39">
        <f>SUM(F25:F31)</f>
        <v/>
      </c>
      <c r="G32" s="39">
        <f>SUM(G25:G31)</f>
        <v/>
      </c>
      <c r="H32" s="39">
        <f>SUM(H25:H31)</f>
        <v/>
      </c>
      <c r="I32" s="39">
        <f>SUM(I25:I31)</f>
        <v/>
      </c>
      <c r="J32" s="39">
        <f>SUM(J25:J31)</f>
        <v/>
      </c>
      <c r="K32" s="39">
        <f>SUM(K25:K31)</f>
        <v/>
      </c>
      <c r="L32" s="39">
        <f>SUM(L25:L31)</f>
        <v/>
      </c>
      <c r="M32" s="39">
        <f>SUM(M25:M31)</f>
        <v/>
      </c>
      <c r="N32" s="39">
        <f>SUM(N25:N31)</f>
        <v/>
      </c>
      <c r="O32" s="39">
        <f>SUM(O25:O31)</f>
        <v/>
      </c>
      <c r="P32" s="39">
        <f>SUM(P25:P31)</f>
        <v/>
      </c>
      <c r="Q32" s="39">
        <f>SUM(Q25:Q31)</f>
        <v/>
      </c>
      <c r="R32" s="39">
        <f>SUM(R25:R31)</f>
        <v/>
      </c>
      <c r="S32" s="39">
        <f>SUM(S25:S31)</f>
        <v/>
      </c>
      <c r="T32" s="39">
        <f>SUM(T25:T31)</f>
        <v/>
      </c>
      <c r="U32" s="39">
        <f>SUM(U25:U31)</f>
        <v/>
      </c>
      <c r="V32" s="39">
        <f>SUM(V25:V31)</f>
        <v/>
      </c>
      <c r="W32" s="39">
        <f>SUM(W25:W31)</f>
        <v/>
      </c>
      <c r="X32" s="39">
        <f>SUM(X25:X31)</f>
        <v/>
      </c>
      <c r="Y32" s="39">
        <f>SUM(Y25:Y31)</f>
        <v/>
      </c>
      <c r="Z32" s="39">
        <f>SUM(Z25:Z31)</f>
        <v/>
      </c>
      <c r="AA32" s="39">
        <f>SUM(AA25:AA31)</f>
        <v/>
      </c>
      <c r="AB32" s="39">
        <f>SUM(AB25:AB31)</f>
        <v/>
      </c>
      <c r="AC32" s="39">
        <f>SUM(AC25:AC31)</f>
        <v/>
      </c>
      <c r="AD32" s="39">
        <f>SUM(AD25:AD31)</f>
        <v/>
      </c>
      <c r="AE32" s="39">
        <f>SUM(AE25:AE31)</f>
        <v/>
      </c>
      <c r="AF32" s="39">
        <f>SUM(AF25:AF31)</f>
        <v/>
      </c>
      <c r="AG32" s="39">
        <f>SUM(AG25:AG31)</f>
        <v/>
      </c>
      <c r="AH32" s="39">
        <f>SUM(AH25:AH31)</f>
        <v/>
      </c>
      <c r="AI32" s="39">
        <f>SUM(AI25:AI31)</f>
        <v/>
      </c>
      <c r="AJ32" s="39">
        <f>SUM(AJ25:AJ31)</f>
        <v/>
      </c>
      <c r="AK32" s="39">
        <f>SUM(AK25:AK31)</f>
        <v/>
      </c>
      <c r="AL32" s="39">
        <f>SUM(B32:AK32)</f>
        <v/>
      </c>
    </row>
    <row r="33">
      <c r="A33" s="38" t="inlineStr">
        <is>
          <t>EBITDA</t>
        </is>
      </c>
      <c r="B33" s="39">
        <f>B21+B32</f>
        <v/>
      </c>
      <c r="C33" s="39">
        <f>C21+C32</f>
        <v/>
      </c>
      <c r="D33" s="39">
        <f>D21+D32</f>
        <v/>
      </c>
      <c r="E33" s="39">
        <f>E21+E32</f>
        <v/>
      </c>
      <c r="F33" s="39">
        <f>F21+F32</f>
        <v/>
      </c>
      <c r="G33" s="39">
        <f>G21+G32</f>
        <v/>
      </c>
      <c r="H33" s="39">
        <f>H21+H32</f>
        <v/>
      </c>
      <c r="I33" s="39">
        <f>I21+I32</f>
        <v/>
      </c>
      <c r="J33" s="39">
        <f>J21+J32</f>
        <v/>
      </c>
      <c r="K33" s="39">
        <f>K21+K32</f>
        <v/>
      </c>
      <c r="L33" s="39">
        <f>L21+L32</f>
        <v/>
      </c>
      <c r="M33" s="39">
        <f>M21+M32</f>
        <v/>
      </c>
      <c r="N33" s="39">
        <f>N21+N32</f>
        <v/>
      </c>
      <c r="O33" s="39">
        <f>O21+O32</f>
        <v/>
      </c>
      <c r="P33" s="39">
        <f>P21+P32</f>
        <v/>
      </c>
      <c r="Q33" s="39">
        <f>Q21+Q32</f>
        <v/>
      </c>
      <c r="R33" s="39">
        <f>R21+R32</f>
        <v/>
      </c>
      <c r="S33" s="39">
        <f>S21+S32</f>
        <v/>
      </c>
      <c r="T33" s="39">
        <f>T21+T32</f>
        <v/>
      </c>
      <c r="U33" s="39">
        <f>U21+U32</f>
        <v/>
      </c>
      <c r="V33" s="39">
        <f>V21+V32</f>
        <v/>
      </c>
      <c r="W33" s="39">
        <f>W21+W32</f>
        <v/>
      </c>
      <c r="X33" s="39">
        <f>X21+X32</f>
        <v/>
      </c>
      <c r="Y33" s="39">
        <f>Y21+Y32</f>
        <v/>
      </c>
      <c r="Z33" s="39">
        <f>Z21+Z32</f>
        <v/>
      </c>
      <c r="AA33" s="39">
        <f>AA21+AA32</f>
        <v/>
      </c>
      <c r="AB33" s="39">
        <f>AB21+AB32</f>
        <v/>
      </c>
      <c r="AC33" s="39">
        <f>AC21+AC32</f>
        <v/>
      </c>
      <c r="AD33" s="39">
        <f>AD21+AD32</f>
        <v/>
      </c>
      <c r="AE33" s="39">
        <f>AE21+AE32</f>
        <v/>
      </c>
      <c r="AF33" s="39">
        <f>AF21+AF32</f>
        <v/>
      </c>
      <c r="AG33" s="39">
        <f>AG21+AG32</f>
        <v/>
      </c>
      <c r="AH33" s="39">
        <f>AH21+AH32</f>
        <v/>
      </c>
      <c r="AI33" s="39">
        <f>AI21+AI32</f>
        <v/>
      </c>
      <c r="AJ33" s="39">
        <f>AJ21+AJ32</f>
        <v/>
      </c>
      <c r="AK33" s="39">
        <f>AK21+AK32</f>
        <v/>
      </c>
      <c r="AL33" s="39">
        <f>SUM(B33:AK33)</f>
        <v/>
      </c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</row>
    <row r="35">
      <c r="A35" s="42" t="inlineStr">
        <is>
          <t>ПРИБЫЛЬ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  <c r="AB35" s="43" t="n"/>
      <c r="AC35" s="43" t="n"/>
      <c r="AD35" s="43" t="n"/>
      <c r="AE35" s="43" t="n"/>
      <c r="AF35" s="43" t="n"/>
      <c r="AG35" s="43" t="n"/>
      <c r="AH35" s="43" t="n"/>
      <c r="AI35" s="43" t="n"/>
      <c r="AJ35" s="43" t="n"/>
      <c r="AK35" s="43" t="n"/>
      <c r="AL35" s="43" t="n"/>
    </row>
    <row r="36">
      <c r="A36" s="40" t="inlineStr">
        <is>
          <t xml:space="preserve">   Амортизация</t>
        </is>
      </c>
      <c r="B36" s="41">
        <f>-Вводные!$B$45/Вводные!$B$46/12</f>
        <v/>
      </c>
      <c r="C36" s="41">
        <f>-Вводные!$B$45/Вводные!$B$46/12</f>
        <v/>
      </c>
      <c r="D36" s="41">
        <f>-Вводные!$B$45/Вводные!$B$46/12</f>
        <v/>
      </c>
      <c r="E36" s="41">
        <f>-Вводные!$B$45/Вводные!$B$46/12</f>
        <v/>
      </c>
      <c r="F36" s="41">
        <f>-Вводные!$B$45/Вводные!$B$46/12</f>
        <v/>
      </c>
      <c r="G36" s="41">
        <f>-Вводные!$B$45/Вводные!$B$46/12</f>
        <v/>
      </c>
      <c r="H36" s="41">
        <f>-Вводные!$B$45/Вводные!$B$46/12</f>
        <v/>
      </c>
      <c r="I36" s="41">
        <f>-Вводные!$B$45/Вводные!$B$46/12</f>
        <v/>
      </c>
      <c r="J36" s="41">
        <f>-Вводные!$B$45/Вводные!$B$46/12</f>
        <v/>
      </c>
      <c r="K36" s="41">
        <f>-Вводные!$B$45/Вводные!$B$46/12</f>
        <v/>
      </c>
      <c r="L36" s="41">
        <f>-Вводные!$B$45/Вводные!$B$46/12</f>
        <v/>
      </c>
      <c r="M36" s="41">
        <f>-Вводные!$B$45/Вводные!$B$46/12</f>
        <v/>
      </c>
      <c r="N36" s="41">
        <f>-Вводные!$B$45/Вводные!$B$46/12</f>
        <v/>
      </c>
      <c r="O36" s="41">
        <f>-Вводные!$B$45/Вводные!$B$46/12</f>
        <v/>
      </c>
      <c r="P36" s="41">
        <f>-Вводные!$B$45/Вводные!$B$46/12</f>
        <v/>
      </c>
      <c r="Q36" s="41">
        <f>-Вводные!$B$45/Вводные!$B$46/12</f>
        <v/>
      </c>
      <c r="R36" s="41">
        <f>-Вводные!$B$45/Вводные!$B$46/12</f>
        <v/>
      </c>
      <c r="S36" s="41">
        <f>-Вводные!$B$45/Вводные!$B$46/12</f>
        <v/>
      </c>
      <c r="T36" s="41">
        <f>-Вводные!$B$45/Вводные!$B$46/12</f>
        <v/>
      </c>
      <c r="U36" s="41">
        <f>-Вводные!$B$45/Вводные!$B$46/12</f>
        <v/>
      </c>
      <c r="V36" s="41">
        <f>-Вводные!$B$45/Вводные!$B$46/12</f>
        <v/>
      </c>
      <c r="W36" s="41">
        <f>-Вводные!$B$45/Вводные!$B$46/12</f>
        <v/>
      </c>
      <c r="X36" s="41">
        <f>-Вводные!$B$45/Вводные!$B$46/12</f>
        <v/>
      </c>
      <c r="Y36" s="41">
        <f>-Вводные!$B$45/Вводные!$B$46/12</f>
        <v/>
      </c>
      <c r="Z36" s="41">
        <f>-Вводные!$B$45/Вводные!$B$46/12</f>
        <v/>
      </c>
      <c r="AA36" s="41">
        <f>-Вводные!$B$45/Вводные!$B$46/12</f>
        <v/>
      </c>
      <c r="AB36" s="41">
        <f>-Вводные!$B$45/Вводные!$B$46/12</f>
        <v/>
      </c>
      <c r="AC36" s="41">
        <f>-Вводные!$B$45/Вводные!$B$46/12</f>
        <v/>
      </c>
      <c r="AD36" s="41">
        <f>-Вводные!$B$45/Вводные!$B$46/12</f>
        <v/>
      </c>
      <c r="AE36" s="41">
        <f>-Вводные!$B$45/Вводные!$B$46/12</f>
        <v/>
      </c>
      <c r="AF36" s="41">
        <f>-Вводные!$B$45/Вводные!$B$46/12</f>
        <v/>
      </c>
      <c r="AG36" s="41">
        <f>-Вводные!$B$45/Вводные!$B$46/12</f>
        <v/>
      </c>
      <c r="AH36" s="41">
        <f>-Вводные!$B$45/Вводные!$B$46/12</f>
        <v/>
      </c>
      <c r="AI36" s="41">
        <f>-Вводные!$B$45/Вводные!$B$46/12</f>
        <v/>
      </c>
      <c r="AJ36" s="41">
        <f>-Вводные!$B$45/Вводные!$B$46/12</f>
        <v/>
      </c>
      <c r="AK36" s="41">
        <f>-Вводные!$B$45/Вводные!$B$46/12</f>
        <v/>
      </c>
      <c r="AL36" s="39">
        <f>SUM(B36:AK36)</f>
        <v/>
      </c>
    </row>
    <row r="37">
      <c r="A37" s="40" t="inlineStr">
        <is>
          <t xml:space="preserve">   Проценты по кредиту</t>
        </is>
      </c>
      <c r="B37" s="41">
        <f>-Вводные!$B$48*Вводные!$B$49/12</f>
        <v/>
      </c>
      <c r="C37" s="41">
        <f>-B56*Вводные!$B$49/12</f>
        <v/>
      </c>
      <c r="D37" s="41">
        <f>-C56*Вводные!$B$49/12</f>
        <v/>
      </c>
      <c r="E37" s="41">
        <f>-D56*Вводные!$B$49/12</f>
        <v/>
      </c>
      <c r="F37" s="41">
        <f>-E56*Вводные!$B$49/12</f>
        <v/>
      </c>
      <c r="G37" s="41">
        <f>-F56*Вводные!$B$49/12</f>
        <v/>
      </c>
      <c r="H37" s="41">
        <f>-G56*Вводные!$B$49/12</f>
        <v/>
      </c>
      <c r="I37" s="41">
        <f>-H56*Вводные!$B$49/12</f>
        <v/>
      </c>
      <c r="J37" s="41">
        <f>-I56*Вводные!$B$49/12</f>
        <v/>
      </c>
      <c r="K37" s="41">
        <f>-J56*Вводные!$B$49/12</f>
        <v/>
      </c>
      <c r="L37" s="41">
        <f>-K56*Вводные!$B$49/12</f>
        <v/>
      </c>
      <c r="M37" s="41">
        <f>-L56*Вводные!$B$49/12</f>
        <v/>
      </c>
      <c r="N37" s="41">
        <f>-M56*Вводные!$B$49/12</f>
        <v/>
      </c>
      <c r="O37" s="41">
        <f>-N56*Вводные!$B$49/12</f>
        <v/>
      </c>
      <c r="P37" s="41">
        <f>-O56*Вводные!$B$49/12</f>
        <v/>
      </c>
      <c r="Q37" s="41">
        <f>-P56*Вводные!$B$49/12</f>
        <v/>
      </c>
      <c r="R37" s="41">
        <f>-Q56*Вводные!$B$49/12</f>
        <v/>
      </c>
      <c r="S37" s="41">
        <f>-R56*Вводные!$B$49/12</f>
        <v/>
      </c>
      <c r="T37" s="41">
        <f>-S56*Вводные!$B$49/12</f>
        <v/>
      </c>
      <c r="U37" s="41">
        <f>-T56*Вводные!$B$49/12</f>
        <v/>
      </c>
      <c r="V37" s="41">
        <f>-U56*Вводные!$B$49/12</f>
        <v/>
      </c>
      <c r="W37" s="41">
        <f>-V56*Вводные!$B$49/12</f>
        <v/>
      </c>
      <c r="X37" s="41">
        <f>-W56*Вводные!$B$49/12</f>
        <v/>
      </c>
      <c r="Y37" s="41">
        <f>-X56*Вводные!$B$49/12</f>
        <v/>
      </c>
      <c r="Z37" s="41">
        <f>-Y56*Вводные!$B$49/12</f>
        <v/>
      </c>
      <c r="AA37" s="41">
        <f>-Z56*Вводные!$B$49/12</f>
        <v/>
      </c>
      <c r="AB37" s="41">
        <f>-AA56*Вводные!$B$49/12</f>
        <v/>
      </c>
      <c r="AC37" s="41">
        <f>-AB56*Вводные!$B$49/12</f>
        <v/>
      </c>
      <c r="AD37" s="41">
        <f>-AC56*Вводные!$B$49/12</f>
        <v/>
      </c>
      <c r="AE37" s="41">
        <f>-AD56*Вводные!$B$49/12</f>
        <v/>
      </c>
      <c r="AF37" s="41">
        <f>-AE56*Вводные!$B$49/12</f>
        <v/>
      </c>
      <c r="AG37" s="41">
        <f>-AF56*Вводные!$B$49/12</f>
        <v/>
      </c>
      <c r="AH37" s="41">
        <f>-AG56*Вводные!$B$49/12</f>
        <v/>
      </c>
      <c r="AI37" s="41">
        <f>-AH56*Вводные!$B$49/12</f>
        <v/>
      </c>
      <c r="AJ37" s="41">
        <f>-AI56*Вводные!$B$49/12</f>
        <v/>
      </c>
      <c r="AK37" s="41">
        <f>-AJ56*Вводные!$B$49/12</f>
        <v/>
      </c>
      <c r="AL37" s="39">
        <f>SUM(B37:AK37)</f>
        <v/>
      </c>
    </row>
    <row r="38">
      <c r="A38" s="38" t="inlineStr">
        <is>
          <t>Прибыль до налога</t>
        </is>
      </c>
      <c r="B38" s="39">
        <f>B33+B36+B37</f>
        <v/>
      </c>
      <c r="C38" s="39">
        <f>C33+C36+C37</f>
        <v/>
      </c>
      <c r="D38" s="39">
        <f>D33+D36+D37</f>
        <v/>
      </c>
      <c r="E38" s="39">
        <f>E33+E36+E37</f>
        <v/>
      </c>
      <c r="F38" s="39">
        <f>F33+F36+F37</f>
        <v/>
      </c>
      <c r="G38" s="39">
        <f>G33+G36+G37</f>
        <v/>
      </c>
      <c r="H38" s="39">
        <f>H33+H36+H37</f>
        <v/>
      </c>
      <c r="I38" s="39">
        <f>I33+I36+I37</f>
        <v/>
      </c>
      <c r="J38" s="39">
        <f>J33+J36+J37</f>
        <v/>
      </c>
      <c r="K38" s="39">
        <f>K33+K36+K37</f>
        <v/>
      </c>
      <c r="L38" s="39">
        <f>L33+L36+L37</f>
        <v/>
      </c>
      <c r="M38" s="39">
        <f>M33+M36+M37</f>
        <v/>
      </c>
      <c r="N38" s="39">
        <f>N33+N36+N37</f>
        <v/>
      </c>
      <c r="O38" s="39">
        <f>O33+O36+O37</f>
        <v/>
      </c>
      <c r="P38" s="39">
        <f>P33+P36+P37</f>
        <v/>
      </c>
      <c r="Q38" s="39">
        <f>Q33+Q36+Q37</f>
        <v/>
      </c>
      <c r="R38" s="39">
        <f>R33+R36+R37</f>
        <v/>
      </c>
      <c r="S38" s="39">
        <f>S33+S36+S37</f>
        <v/>
      </c>
      <c r="T38" s="39">
        <f>T33+T36+T37</f>
        <v/>
      </c>
      <c r="U38" s="39">
        <f>U33+U36+U37</f>
        <v/>
      </c>
      <c r="V38" s="39">
        <f>V33+V36+V37</f>
        <v/>
      </c>
      <c r="W38" s="39">
        <f>W33+W36+W37</f>
        <v/>
      </c>
      <c r="X38" s="39">
        <f>X33+X36+X37</f>
        <v/>
      </c>
      <c r="Y38" s="39">
        <f>Y33+Y36+Y37</f>
        <v/>
      </c>
      <c r="Z38" s="39">
        <f>Z33+Z36+Z37</f>
        <v/>
      </c>
      <c r="AA38" s="39">
        <f>AA33+AA36+AA37</f>
        <v/>
      </c>
      <c r="AB38" s="39">
        <f>AB33+AB36+AB37</f>
        <v/>
      </c>
      <c r="AC38" s="39">
        <f>AC33+AC36+AC37</f>
        <v/>
      </c>
      <c r="AD38" s="39">
        <f>AD33+AD36+AD37</f>
        <v/>
      </c>
      <c r="AE38" s="39">
        <f>AE33+AE36+AE37</f>
        <v/>
      </c>
      <c r="AF38" s="39">
        <f>AF33+AF36+AF37</f>
        <v/>
      </c>
      <c r="AG38" s="39">
        <f>AG33+AG36+AG37</f>
        <v/>
      </c>
      <c r="AH38" s="39">
        <f>AH33+AH36+AH37</f>
        <v/>
      </c>
      <c r="AI38" s="39">
        <f>AI33+AI36+AI37</f>
        <v/>
      </c>
      <c r="AJ38" s="39">
        <f>AJ33+AJ36+AJ37</f>
        <v/>
      </c>
      <c r="AK38" s="39">
        <f>AK33+AK36+AK37</f>
        <v/>
      </c>
      <c r="AL38" s="39">
        <f>SUM(B38:AK38)</f>
        <v/>
      </c>
    </row>
    <row r="39">
      <c r="A39" s="40" t="inlineStr">
        <is>
          <t xml:space="preserve">   Корпоративный подоходный налог</t>
        </is>
      </c>
      <c r="B39" s="41">
        <f>-MAX(0,B38)*Вводные!$B$42</f>
        <v/>
      </c>
      <c r="C39" s="41">
        <f>-MAX(0,C38)*Вводные!$B$42</f>
        <v/>
      </c>
      <c r="D39" s="41">
        <f>-MAX(0,D38)*Вводные!$B$42</f>
        <v/>
      </c>
      <c r="E39" s="41">
        <f>-MAX(0,E38)*Вводные!$B$42</f>
        <v/>
      </c>
      <c r="F39" s="41">
        <f>-MAX(0,F38)*Вводные!$B$42</f>
        <v/>
      </c>
      <c r="G39" s="41">
        <f>-MAX(0,G38)*Вводные!$B$42</f>
        <v/>
      </c>
      <c r="H39" s="41">
        <f>-MAX(0,H38)*Вводные!$B$42</f>
        <v/>
      </c>
      <c r="I39" s="41">
        <f>-MAX(0,I38)*Вводные!$B$42</f>
        <v/>
      </c>
      <c r="J39" s="41">
        <f>-MAX(0,J38)*Вводные!$B$42</f>
        <v/>
      </c>
      <c r="K39" s="41">
        <f>-MAX(0,K38)*Вводные!$B$42</f>
        <v/>
      </c>
      <c r="L39" s="41">
        <f>-MAX(0,L38)*Вводные!$B$42</f>
        <v/>
      </c>
      <c r="M39" s="41">
        <f>-MAX(0,M38)*Вводные!$B$42</f>
        <v/>
      </c>
      <c r="N39" s="41">
        <f>-MAX(0,N38)*Вводные!$B$42</f>
        <v/>
      </c>
      <c r="O39" s="41">
        <f>-MAX(0,O38)*Вводные!$B$42</f>
        <v/>
      </c>
      <c r="P39" s="41">
        <f>-MAX(0,P38)*Вводные!$B$42</f>
        <v/>
      </c>
      <c r="Q39" s="41">
        <f>-MAX(0,Q38)*Вводные!$B$42</f>
        <v/>
      </c>
      <c r="R39" s="41">
        <f>-MAX(0,R38)*Вводные!$B$42</f>
        <v/>
      </c>
      <c r="S39" s="41">
        <f>-MAX(0,S38)*Вводные!$B$42</f>
        <v/>
      </c>
      <c r="T39" s="41">
        <f>-MAX(0,T38)*Вводные!$B$42</f>
        <v/>
      </c>
      <c r="U39" s="41">
        <f>-MAX(0,U38)*Вводные!$B$42</f>
        <v/>
      </c>
      <c r="V39" s="41">
        <f>-MAX(0,V38)*Вводные!$B$42</f>
        <v/>
      </c>
      <c r="W39" s="41">
        <f>-MAX(0,W38)*Вводные!$B$42</f>
        <v/>
      </c>
      <c r="X39" s="41">
        <f>-MAX(0,X38)*Вводные!$B$42</f>
        <v/>
      </c>
      <c r="Y39" s="41">
        <f>-MAX(0,Y38)*Вводные!$B$42</f>
        <v/>
      </c>
      <c r="Z39" s="41">
        <f>-MAX(0,Z38)*Вводные!$B$42</f>
        <v/>
      </c>
      <c r="AA39" s="41">
        <f>-MAX(0,AA38)*Вводные!$B$42</f>
        <v/>
      </c>
      <c r="AB39" s="41">
        <f>-MAX(0,AB38)*Вводные!$B$42</f>
        <v/>
      </c>
      <c r="AC39" s="41">
        <f>-MAX(0,AC38)*Вводные!$B$42</f>
        <v/>
      </c>
      <c r="AD39" s="41">
        <f>-MAX(0,AD38)*Вводные!$B$42</f>
        <v/>
      </c>
      <c r="AE39" s="41">
        <f>-MAX(0,AE38)*Вводные!$B$42</f>
        <v/>
      </c>
      <c r="AF39" s="41">
        <f>-MAX(0,AF38)*Вводные!$B$42</f>
        <v/>
      </c>
      <c r="AG39" s="41">
        <f>-MAX(0,AG38)*Вводные!$B$42</f>
        <v/>
      </c>
      <c r="AH39" s="41">
        <f>-MAX(0,AH38)*Вводные!$B$42</f>
        <v/>
      </c>
      <c r="AI39" s="41">
        <f>-MAX(0,AI38)*Вводные!$B$42</f>
        <v/>
      </c>
      <c r="AJ39" s="41">
        <f>-MAX(0,AJ38)*Вводные!$B$42</f>
        <v/>
      </c>
      <c r="AK39" s="41">
        <f>-MAX(0,AK38)*Вводные!$B$42</f>
        <v/>
      </c>
      <c r="AL39" s="39">
        <f>SUM(B39:AK39)</f>
        <v/>
      </c>
    </row>
    <row r="40">
      <c r="A40" s="38" t="inlineStr">
        <is>
          <t>ЧИСТАЯ ПРИБЫЛЬ</t>
        </is>
      </c>
      <c r="B40" s="39">
        <f>B38+B39</f>
        <v/>
      </c>
      <c r="C40" s="39">
        <f>C38+C39</f>
        <v/>
      </c>
      <c r="D40" s="39">
        <f>D38+D39</f>
        <v/>
      </c>
      <c r="E40" s="39">
        <f>E38+E39</f>
        <v/>
      </c>
      <c r="F40" s="39">
        <f>F38+F39</f>
        <v/>
      </c>
      <c r="G40" s="39">
        <f>G38+G39</f>
        <v/>
      </c>
      <c r="H40" s="39">
        <f>H38+H39</f>
        <v/>
      </c>
      <c r="I40" s="39">
        <f>I38+I39</f>
        <v/>
      </c>
      <c r="J40" s="39">
        <f>J38+J39</f>
        <v/>
      </c>
      <c r="K40" s="39">
        <f>K38+K39</f>
        <v/>
      </c>
      <c r="L40" s="39">
        <f>L38+L39</f>
        <v/>
      </c>
      <c r="M40" s="39">
        <f>M38+M39</f>
        <v/>
      </c>
      <c r="N40" s="39">
        <f>N38+N39</f>
        <v/>
      </c>
      <c r="O40" s="39">
        <f>O38+O39</f>
        <v/>
      </c>
      <c r="P40" s="39">
        <f>P38+P39</f>
        <v/>
      </c>
      <c r="Q40" s="39">
        <f>Q38+Q39</f>
        <v/>
      </c>
      <c r="R40" s="39">
        <f>R38+R39</f>
        <v/>
      </c>
      <c r="S40" s="39">
        <f>S38+S39</f>
        <v/>
      </c>
      <c r="T40" s="39">
        <f>T38+T39</f>
        <v/>
      </c>
      <c r="U40" s="39">
        <f>U38+U39</f>
        <v/>
      </c>
      <c r="V40" s="39">
        <f>V38+V39</f>
        <v/>
      </c>
      <c r="W40" s="39">
        <f>W38+W39</f>
        <v/>
      </c>
      <c r="X40" s="39">
        <f>X38+X39</f>
        <v/>
      </c>
      <c r="Y40" s="39">
        <f>Y38+Y39</f>
        <v/>
      </c>
      <c r="Z40" s="39">
        <f>Z38+Z39</f>
        <v/>
      </c>
      <c r="AA40" s="39">
        <f>AA38+AA39</f>
        <v/>
      </c>
      <c r="AB40" s="39">
        <f>AB38+AB39</f>
        <v/>
      </c>
      <c r="AC40" s="39">
        <f>AC38+AC39</f>
        <v/>
      </c>
      <c r="AD40" s="39">
        <f>AD38+AD39</f>
        <v/>
      </c>
      <c r="AE40" s="39">
        <f>AE38+AE39</f>
        <v/>
      </c>
      <c r="AF40" s="39">
        <f>AF38+AF39</f>
        <v/>
      </c>
      <c r="AG40" s="39">
        <f>AG38+AG39</f>
        <v/>
      </c>
      <c r="AH40" s="39">
        <f>AH38+AH39</f>
        <v/>
      </c>
      <c r="AI40" s="39">
        <f>AI38+AI39</f>
        <v/>
      </c>
      <c r="AJ40" s="39">
        <f>AJ38+AJ39</f>
        <v/>
      </c>
      <c r="AK40" s="39">
        <f>AK38+AK39</f>
        <v/>
      </c>
      <c r="AL40" s="39">
        <f>SUM(B40:AK40)</f>
        <v/>
      </c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</row>
    <row r="42">
      <c r="A42" s="42" t="inlineStr">
        <is>
          <t>ДВИЖЕНИЕ ДЕНЕЖНЫХ СРЕДСТВ</t>
        </is>
      </c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/>
      <c r="AH42" s="43" t="n"/>
      <c r="AI42" s="43" t="n"/>
      <c r="AJ42" s="43" t="n"/>
      <c r="AK42" s="43" t="n"/>
      <c r="AL42" s="43" t="n"/>
    </row>
    <row r="43">
      <c r="A43" s="38" t="inlineStr">
        <is>
          <t>Остаток на начало месяца</t>
        </is>
      </c>
      <c r="B43" s="39">
        <f>0</f>
        <v/>
      </c>
      <c r="C43" s="39">
        <f>B55</f>
        <v/>
      </c>
      <c r="D43" s="39">
        <f>C55</f>
        <v/>
      </c>
      <c r="E43" s="39">
        <f>D55</f>
        <v/>
      </c>
      <c r="F43" s="39">
        <f>E55</f>
        <v/>
      </c>
      <c r="G43" s="39">
        <f>F55</f>
        <v/>
      </c>
      <c r="H43" s="39">
        <f>G55</f>
        <v/>
      </c>
      <c r="I43" s="39">
        <f>H55</f>
        <v/>
      </c>
      <c r="J43" s="39">
        <f>I55</f>
        <v/>
      </c>
      <c r="K43" s="39">
        <f>J55</f>
        <v/>
      </c>
      <c r="L43" s="39">
        <f>K55</f>
        <v/>
      </c>
      <c r="M43" s="39">
        <f>L55</f>
        <v/>
      </c>
      <c r="N43" s="39">
        <f>M55</f>
        <v/>
      </c>
      <c r="O43" s="39">
        <f>N55</f>
        <v/>
      </c>
      <c r="P43" s="39">
        <f>O55</f>
        <v/>
      </c>
      <c r="Q43" s="39">
        <f>P55</f>
        <v/>
      </c>
      <c r="R43" s="39">
        <f>Q55</f>
        <v/>
      </c>
      <c r="S43" s="39">
        <f>R55</f>
        <v/>
      </c>
      <c r="T43" s="39">
        <f>S55</f>
        <v/>
      </c>
      <c r="U43" s="39">
        <f>T55</f>
        <v/>
      </c>
      <c r="V43" s="39">
        <f>U55</f>
        <v/>
      </c>
      <c r="W43" s="39">
        <f>V55</f>
        <v/>
      </c>
      <c r="X43" s="39">
        <f>W55</f>
        <v/>
      </c>
      <c r="Y43" s="39">
        <f>X55</f>
        <v/>
      </c>
      <c r="Z43" s="39">
        <f>Y55</f>
        <v/>
      </c>
      <c r="AA43" s="39">
        <f>Z55</f>
        <v/>
      </c>
      <c r="AB43" s="39">
        <f>AA55</f>
        <v/>
      </c>
      <c r="AC43" s="39">
        <f>AB55</f>
        <v/>
      </c>
      <c r="AD43" s="39">
        <f>AC55</f>
        <v/>
      </c>
      <c r="AE43" s="39">
        <f>AD55</f>
        <v/>
      </c>
      <c r="AF43" s="39">
        <f>AE55</f>
        <v/>
      </c>
      <c r="AG43" s="39">
        <f>AF55</f>
        <v/>
      </c>
      <c r="AH43" s="39">
        <f>AG55</f>
        <v/>
      </c>
      <c r="AI43" s="39">
        <f>AH55</f>
        <v/>
      </c>
      <c r="AJ43" s="39">
        <f>AI55</f>
        <v/>
      </c>
      <c r="AK43" s="39">
        <f>AJ55</f>
        <v/>
      </c>
      <c r="AL43" s="28" t="n"/>
    </row>
    <row r="44">
      <c r="A44" s="40" t="inlineStr">
        <is>
          <t xml:space="preserve">   Поступления от покупателей (с НДС)</t>
        </is>
      </c>
      <c r="B44" s="41">
        <f>B13*Вводные!$B$38*(1+Вводные!$B$41)</f>
        <v/>
      </c>
      <c r="C44" s="41">
        <f>(C13*Вводные!$B$38+B13*(1-Вводные!$B$38))*(1+Вводные!$B$41)</f>
        <v/>
      </c>
      <c r="D44" s="41">
        <f>(D13*Вводные!$B$38+C13*(1-Вводные!$B$38))*(1+Вводные!$B$41)</f>
        <v/>
      </c>
      <c r="E44" s="41">
        <f>(E13*Вводные!$B$38+D13*(1-Вводные!$B$38))*(1+Вводные!$B$41)</f>
        <v/>
      </c>
      <c r="F44" s="41">
        <f>(F13*Вводные!$B$38+E13*(1-Вводные!$B$38))*(1+Вводные!$B$41)</f>
        <v/>
      </c>
      <c r="G44" s="41">
        <f>(G13*Вводные!$B$38+F13*(1-Вводные!$B$38))*(1+Вводные!$B$41)</f>
        <v/>
      </c>
      <c r="H44" s="41">
        <f>(H13*Вводные!$B$38+G13*(1-Вводные!$B$38))*(1+Вводные!$B$41)</f>
        <v/>
      </c>
      <c r="I44" s="41">
        <f>(I13*Вводные!$B$38+H13*(1-Вводные!$B$38))*(1+Вводные!$B$41)</f>
        <v/>
      </c>
      <c r="J44" s="41">
        <f>(J13*Вводные!$B$38+I13*(1-Вводные!$B$38))*(1+Вводные!$B$41)</f>
        <v/>
      </c>
      <c r="K44" s="41">
        <f>(K13*Вводные!$B$38+J13*(1-Вводные!$B$38))*(1+Вводные!$B$41)</f>
        <v/>
      </c>
      <c r="L44" s="41">
        <f>(L13*Вводные!$B$38+K13*(1-Вводные!$B$38))*(1+Вводные!$B$41)</f>
        <v/>
      </c>
      <c r="M44" s="41">
        <f>(M13*Вводные!$B$38+L13*(1-Вводные!$B$38))*(1+Вводные!$B$41)</f>
        <v/>
      </c>
      <c r="N44" s="41">
        <f>(N13*Вводные!$B$38+M13*(1-Вводные!$B$38))*(1+Вводные!$B$41)</f>
        <v/>
      </c>
      <c r="O44" s="41">
        <f>(O13*Вводные!$B$38+N13*(1-Вводные!$B$38))*(1+Вводные!$B$41)</f>
        <v/>
      </c>
      <c r="P44" s="41">
        <f>(P13*Вводные!$B$38+O13*(1-Вводные!$B$38))*(1+Вводные!$B$41)</f>
        <v/>
      </c>
      <c r="Q44" s="41">
        <f>(Q13*Вводные!$B$38+P13*(1-Вводные!$B$38))*(1+Вводные!$B$41)</f>
        <v/>
      </c>
      <c r="R44" s="41">
        <f>(R13*Вводные!$B$38+Q13*(1-Вводные!$B$38))*(1+Вводные!$B$41)</f>
        <v/>
      </c>
      <c r="S44" s="41">
        <f>(S13*Вводные!$B$38+R13*(1-Вводные!$B$38))*(1+Вводные!$B$41)</f>
        <v/>
      </c>
      <c r="T44" s="41">
        <f>(T13*Вводные!$B$38+S13*(1-Вводные!$B$38))*(1+Вводные!$B$41)</f>
        <v/>
      </c>
      <c r="U44" s="41">
        <f>(U13*Вводные!$B$38+T13*(1-Вводные!$B$38))*(1+Вводные!$B$41)</f>
        <v/>
      </c>
      <c r="V44" s="41">
        <f>(V13*Вводные!$B$38+U13*(1-Вводные!$B$38))*(1+Вводные!$B$41)</f>
        <v/>
      </c>
      <c r="W44" s="41">
        <f>(W13*Вводные!$B$38+V13*(1-Вводные!$B$38))*(1+Вводные!$B$41)</f>
        <v/>
      </c>
      <c r="X44" s="41">
        <f>(X13*Вводные!$B$38+W13*(1-Вводные!$B$38))*(1+Вводные!$B$41)</f>
        <v/>
      </c>
      <c r="Y44" s="41">
        <f>(Y13*Вводные!$B$38+X13*(1-Вводные!$B$38))*(1+Вводные!$B$41)</f>
        <v/>
      </c>
      <c r="Z44" s="41">
        <f>(Z13*Вводные!$B$38+Y13*(1-Вводные!$B$38))*(1+Вводные!$B$41)</f>
        <v/>
      </c>
      <c r="AA44" s="41">
        <f>(AA13*Вводные!$B$38+Z13*(1-Вводные!$B$38))*(1+Вводные!$B$41)</f>
        <v/>
      </c>
      <c r="AB44" s="41">
        <f>(AB13*Вводные!$B$38+AA13*(1-Вводные!$B$38))*(1+Вводные!$B$41)</f>
        <v/>
      </c>
      <c r="AC44" s="41">
        <f>(AC13*Вводные!$B$38+AB13*(1-Вводные!$B$38))*(1+Вводные!$B$41)</f>
        <v/>
      </c>
      <c r="AD44" s="41">
        <f>(AD13*Вводные!$B$38+AC13*(1-Вводные!$B$38))*(1+Вводные!$B$41)</f>
        <v/>
      </c>
      <c r="AE44" s="41">
        <f>(AE13*Вводные!$B$38+AD13*(1-Вводные!$B$38))*(1+Вводные!$B$41)</f>
        <v/>
      </c>
      <c r="AF44" s="41">
        <f>(AF13*Вводные!$B$38+AE13*(1-Вводные!$B$38))*(1+Вводные!$B$41)</f>
        <v/>
      </c>
      <c r="AG44" s="41">
        <f>(AG13*Вводные!$B$38+AF13*(1-Вводные!$B$38))*(1+Вводные!$B$41)</f>
        <v/>
      </c>
      <c r="AH44" s="41">
        <f>(AH13*Вводные!$B$38+AG13*(1-Вводные!$B$38))*(1+Вводные!$B$41)</f>
        <v/>
      </c>
      <c r="AI44" s="41">
        <f>(AI13*Вводные!$B$38+AH13*(1-Вводные!$B$38))*(1+Вводные!$B$41)</f>
        <v/>
      </c>
      <c r="AJ44" s="41">
        <f>(AJ13*Вводные!$B$38+AI13*(1-Вводные!$B$38))*(1+Вводные!$B$41)</f>
        <v/>
      </c>
      <c r="AK44" s="41">
        <f>(AK13*Вводные!$B$38+AJ13*(1-Вводные!$B$38))*(1+Вводные!$B$41)</f>
        <v/>
      </c>
      <c r="AL44" s="39">
        <f>SUM(B44:AK44)</f>
        <v/>
      </c>
    </row>
    <row r="45">
      <c r="A45" s="40" t="inlineStr">
        <is>
          <t xml:space="preserve">   Оплата сырья и упаковки (с НДС)</t>
        </is>
      </c>
      <c r="B45" s="41">
        <f>(B16+B17)*Вводные!$B$39*(1+Вводные!$B$41)</f>
        <v/>
      </c>
      <c r="C45" s="41">
        <f>((C16+C17)*Вводные!$B$39+(B16+B17)*(1-Вводные!$B$39))*(1+Вводные!$B$41)</f>
        <v/>
      </c>
      <c r="D45" s="41">
        <f>((D16+D17)*Вводные!$B$39+(C16+C17)*(1-Вводные!$B$39))*(1+Вводные!$B$41)</f>
        <v/>
      </c>
      <c r="E45" s="41">
        <f>((E16+E17)*Вводные!$B$39+(D16+D17)*(1-Вводные!$B$39))*(1+Вводные!$B$41)</f>
        <v/>
      </c>
      <c r="F45" s="41">
        <f>((F16+F17)*Вводные!$B$39+(E16+E17)*(1-Вводные!$B$39))*(1+Вводные!$B$41)</f>
        <v/>
      </c>
      <c r="G45" s="41">
        <f>((G16+G17)*Вводные!$B$39+(F16+F17)*(1-Вводные!$B$39))*(1+Вводные!$B$41)</f>
        <v/>
      </c>
      <c r="H45" s="41">
        <f>((H16+H17)*Вводные!$B$39+(G16+G17)*(1-Вводные!$B$39))*(1+Вводные!$B$41)</f>
        <v/>
      </c>
      <c r="I45" s="41">
        <f>((I16+I17)*Вводные!$B$39+(H16+H17)*(1-Вводные!$B$39))*(1+Вводные!$B$41)</f>
        <v/>
      </c>
      <c r="J45" s="41">
        <f>((J16+J17)*Вводные!$B$39+(I16+I17)*(1-Вводные!$B$39))*(1+Вводные!$B$41)</f>
        <v/>
      </c>
      <c r="K45" s="41">
        <f>((K16+K17)*Вводные!$B$39+(J16+J17)*(1-Вводные!$B$39))*(1+Вводные!$B$41)</f>
        <v/>
      </c>
      <c r="L45" s="41">
        <f>((L16+L17)*Вводные!$B$39+(K16+K17)*(1-Вводные!$B$39))*(1+Вводные!$B$41)</f>
        <v/>
      </c>
      <c r="M45" s="41">
        <f>((M16+M17)*Вводные!$B$39+(L16+L17)*(1-Вводные!$B$39))*(1+Вводные!$B$41)</f>
        <v/>
      </c>
      <c r="N45" s="41">
        <f>((N16+N17)*Вводные!$B$39+(M16+M17)*(1-Вводные!$B$39))*(1+Вводные!$B$41)</f>
        <v/>
      </c>
      <c r="O45" s="41">
        <f>((O16+O17)*Вводные!$B$39+(N16+N17)*(1-Вводные!$B$39))*(1+Вводные!$B$41)</f>
        <v/>
      </c>
      <c r="P45" s="41">
        <f>((P16+P17)*Вводные!$B$39+(O16+O17)*(1-Вводные!$B$39))*(1+Вводные!$B$41)</f>
        <v/>
      </c>
      <c r="Q45" s="41">
        <f>((Q16+Q17)*Вводные!$B$39+(P16+P17)*(1-Вводные!$B$39))*(1+Вводные!$B$41)</f>
        <v/>
      </c>
      <c r="R45" s="41">
        <f>((R16+R17)*Вводные!$B$39+(Q16+Q17)*(1-Вводные!$B$39))*(1+Вводные!$B$41)</f>
        <v/>
      </c>
      <c r="S45" s="41">
        <f>((S16+S17)*Вводные!$B$39+(R16+R17)*(1-Вводные!$B$39))*(1+Вводные!$B$41)</f>
        <v/>
      </c>
      <c r="T45" s="41">
        <f>((T16+T17)*Вводные!$B$39+(S16+S17)*(1-Вводные!$B$39))*(1+Вводные!$B$41)</f>
        <v/>
      </c>
      <c r="U45" s="41">
        <f>((U16+U17)*Вводные!$B$39+(T16+T17)*(1-Вводные!$B$39))*(1+Вводные!$B$41)</f>
        <v/>
      </c>
      <c r="V45" s="41">
        <f>((V16+V17)*Вводные!$B$39+(U16+U17)*(1-Вводные!$B$39))*(1+Вводные!$B$41)</f>
        <v/>
      </c>
      <c r="W45" s="41">
        <f>((W16+W17)*Вводные!$B$39+(V16+V17)*(1-Вводные!$B$39))*(1+Вводные!$B$41)</f>
        <v/>
      </c>
      <c r="X45" s="41">
        <f>((X16+X17)*Вводные!$B$39+(W16+W17)*(1-Вводные!$B$39))*(1+Вводные!$B$41)</f>
        <v/>
      </c>
      <c r="Y45" s="41">
        <f>((Y16+Y17)*Вводные!$B$39+(X16+X17)*(1-Вводные!$B$39))*(1+Вводные!$B$41)</f>
        <v/>
      </c>
      <c r="Z45" s="41">
        <f>((Z16+Z17)*Вводные!$B$39+(Y16+Y17)*(1-Вводные!$B$39))*(1+Вводные!$B$41)</f>
        <v/>
      </c>
      <c r="AA45" s="41">
        <f>((AA16+AA17)*Вводные!$B$39+(Z16+Z17)*(1-Вводные!$B$39))*(1+Вводные!$B$41)</f>
        <v/>
      </c>
      <c r="AB45" s="41">
        <f>((AB16+AB17)*Вводные!$B$39+(AA16+AA17)*(1-Вводные!$B$39))*(1+Вводные!$B$41)</f>
        <v/>
      </c>
      <c r="AC45" s="41">
        <f>((AC16+AC17)*Вводные!$B$39+(AB16+AB17)*(1-Вводные!$B$39))*(1+Вводные!$B$41)</f>
        <v/>
      </c>
      <c r="AD45" s="41">
        <f>((AD16+AD17)*Вводные!$B$39+(AC16+AC17)*(1-Вводные!$B$39))*(1+Вводные!$B$41)</f>
        <v/>
      </c>
      <c r="AE45" s="41">
        <f>((AE16+AE17)*Вводные!$B$39+(AD16+AD17)*(1-Вводные!$B$39))*(1+Вводные!$B$41)</f>
        <v/>
      </c>
      <c r="AF45" s="41">
        <f>((AF16+AF17)*Вводные!$B$39+(AE16+AE17)*(1-Вводные!$B$39))*(1+Вводные!$B$41)</f>
        <v/>
      </c>
      <c r="AG45" s="41">
        <f>((AG16+AG17)*Вводные!$B$39+(AF16+AF17)*(1-Вводные!$B$39))*(1+Вводные!$B$41)</f>
        <v/>
      </c>
      <c r="AH45" s="41">
        <f>((AH16+AH17)*Вводные!$B$39+(AG16+AG17)*(1-Вводные!$B$39))*(1+Вводные!$B$41)</f>
        <v/>
      </c>
      <c r="AI45" s="41">
        <f>((AI16+AI17)*Вводные!$B$39+(AH16+AH17)*(1-Вводные!$B$39))*(1+Вводные!$B$41)</f>
        <v/>
      </c>
      <c r="AJ45" s="41">
        <f>((AJ16+AJ17)*Вводные!$B$39+(AI16+AI17)*(1-Вводные!$B$39))*(1+Вводные!$B$41)</f>
        <v/>
      </c>
      <c r="AK45" s="41">
        <f>((AK16+AK17)*Вводные!$B$39+(AJ16+AJ17)*(1-Вводные!$B$39))*(1+Вводные!$B$41)</f>
        <v/>
      </c>
      <c r="AL45" s="39">
        <f>SUM(B45:AK45)</f>
        <v/>
      </c>
    </row>
    <row r="46">
      <c r="A46" s="40" t="inlineStr">
        <is>
          <t xml:space="preserve">   Формирование запаса сырья</t>
        </is>
      </c>
      <c r="B46" s="41">
        <f>(B16+B17)*Вводные!$B$40/30*(1+Вводные!$B$41)</f>
        <v/>
      </c>
      <c r="C46" s="41">
        <f>0</f>
        <v/>
      </c>
      <c r="D46" s="41">
        <f>0</f>
        <v/>
      </c>
      <c r="E46" s="41">
        <f>0</f>
        <v/>
      </c>
      <c r="F46" s="41">
        <f>0</f>
        <v/>
      </c>
      <c r="G46" s="41">
        <f>0</f>
        <v/>
      </c>
      <c r="H46" s="41">
        <f>0</f>
        <v/>
      </c>
      <c r="I46" s="41">
        <f>0</f>
        <v/>
      </c>
      <c r="J46" s="41">
        <f>0</f>
        <v/>
      </c>
      <c r="K46" s="41">
        <f>0</f>
        <v/>
      </c>
      <c r="L46" s="41">
        <f>0</f>
        <v/>
      </c>
      <c r="M46" s="41">
        <f>0</f>
        <v/>
      </c>
      <c r="N46" s="41">
        <f>0</f>
        <v/>
      </c>
      <c r="O46" s="41">
        <f>0</f>
        <v/>
      </c>
      <c r="P46" s="41">
        <f>0</f>
        <v/>
      </c>
      <c r="Q46" s="41">
        <f>0</f>
        <v/>
      </c>
      <c r="R46" s="41">
        <f>0</f>
        <v/>
      </c>
      <c r="S46" s="41">
        <f>0</f>
        <v/>
      </c>
      <c r="T46" s="41">
        <f>0</f>
        <v/>
      </c>
      <c r="U46" s="41">
        <f>0</f>
        <v/>
      </c>
      <c r="V46" s="41">
        <f>0</f>
        <v/>
      </c>
      <c r="W46" s="41">
        <f>0</f>
        <v/>
      </c>
      <c r="X46" s="41">
        <f>0</f>
        <v/>
      </c>
      <c r="Y46" s="41">
        <f>0</f>
        <v/>
      </c>
      <c r="Z46" s="41">
        <f>0</f>
        <v/>
      </c>
      <c r="AA46" s="41">
        <f>0</f>
        <v/>
      </c>
      <c r="AB46" s="41">
        <f>0</f>
        <v/>
      </c>
      <c r="AC46" s="41">
        <f>0</f>
        <v/>
      </c>
      <c r="AD46" s="41">
        <f>0</f>
        <v/>
      </c>
      <c r="AE46" s="41">
        <f>0</f>
        <v/>
      </c>
      <c r="AF46" s="41">
        <f>0</f>
        <v/>
      </c>
      <c r="AG46" s="41">
        <f>0</f>
        <v/>
      </c>
      <c r="AH46" s="41">
        <f>0</f>
        <v/>
      </c>
      <c r="AI46" s="41">
        <f>0</f>
        <v/>
      </c>
      <c r="AJ46" s="41">
        <f>0</f>
        <v/>
      </c>
      <c r="AK46" s="41">
        <f>0</f>
        <v/>
      </c>
      <c r="AL46" s="39">
        <f>SUM(B46:AK46)</f>
        <v/>
      </c>
    </row>
    <row r="47">
      <c r="A47" s="40" t="inlineStr">
        <is>
          <t xml:space="preserve">   Прочие переменные и постоянные расходы</t>
        </is>
      </c>
      <c r="B47" s="41">
        <f>B18+B19+B32</f>
        <v/>
      </c>
      <c r="C47" s="41">
        <f>C18+C19+C32</f>
        <v/>
      </c>
      <c r="D47" s="41">
        <f>D18+D19+D32</f>
        <v/>
      </c>
      <c r="E47" s="41">
        <f>E18+E19+E32</f>
        <v/>
      </c>
      <c r="F47" s="41">
        <f>F18+F19+F32</f>
        <v/>
      </c>
      <c r="G47" s="41">
        <f>G18+G19+G32</f>
        <v/>
      </c>
      <c r="H47" s="41">
        <f>H18+H19+H32</f>
        <v/>
      </c>
      <c r="I47" s="41">
        <f>I18+I19+I32</f>
        <v/>
      </c>
      <c r="J47" s="41">
        <f>J18+J19+J32</f>
        <v/>
      </c>
      <c r="K47" s="41">
        <f>K18+K19+K32</f>
        <v/>
      </c>
      <c r="L47" s="41">
        <f>L18+L19+L32</f>
        <v/>
      </c>
      <c r="M47" s="41">
        <f>M18+M19+M32</f>
        <v/>
      </c>
      <c r="N47" s="41">
        <f>N18+N19+N32</f>
        <v/>
      </c>
      <c r="O47" s="41">
        <f>O18+O19+O32</f>
        <v/>
      </c>
      <c r="P47" s="41">
        <f>P18+P19+P32</f>
        <v/>
      </c>
      <c r="Q47" s="41">
        <f>Q18+Q19+Q32</f>
        <v/>
      </c>
      <c r="R47" s="41">
        <f>R18+R19+R32</f>
        <v/>
      </c>
      <c r="S47" s="41">
        <f>S18+S19+S32</f>
        <v/>
      </c>
      <c r="T47" s="41">
        <f>T18+T19+T32</f>
        <v/>
      </c>
      <c r="U47" s="41">
        <f>U18+U19+U32</f>
        <v/>
      </c>
      <c r="V47" s="41">
        <f>V18+V19+V32</f>
        <v/>
      </c>
      <c r="W47" s="41">
        <f>W18+W19+W32</f>
        <v/>
      </c>
      <c r="X47" s="41">
        <f>X18+X19+X32</f>
        <v/>
      </c>
      <c r="Y47" s="41">
        <f>Y18+Y19+Y32</f>
        <v/>
      </c>
      <c r="Z47" s="41">
        <f>Z18+Z19+Z32</f>
        <v/>
      </c>
      <c r="AA47" s="41">
        <f>AA18+AA19+AA32</f>
        <v/>
      </c>
      <c r="AB47" s="41">
        <f>AB18+AB19+AB32</f>
        <v/>
      </c>
      <c r="AC47" s="41">
        <f>AC18+AC19+AC32</f>
        <v/>
      </c>
      <c r="AD47" s="41">
        <f>AD18+AD19+AD32</f>
        <v/>
      </c>
      <c r="AE47" s="41">
        <f>AE18+AE19+AE32</f>
        <v/>
      </c>
      <c r="AF47" s="41">
        <f>AF18+AF19+AF32</f>
        <v/>
      </c>
      <c r="AG47" s="41">
        <f>AG18+AG19+AG32</f>
        <v/>
      </c>
      <c r="AH47" s="41">
        <f>AH18+AH19+AH32</f>
        <v/>
      </c>
      <c r="AI47" s="41">
        <f>AI18+AI19+AI32</f>
        <v/>
      </c>
      <c r="AJ47" s="41">
        <f>AJ18+AJ19+AJ32</f>
        <v/>
      </c>
      <c r="AK47" s="41">
        <f>AK18+AK19+AK32</f>
        <v/>
      </c>
      <c r="AL47" s="39">
        <f>SUM(B47:AK47)</f>
        <v/>
      </c>
    </row>
    <row r="48">
      <c r="A48" s="40" t="inlineStr">
        <is>
          <t xml:space="preserve">   НДС к уплате</t>
        </is>
      </c>
      <c r="B48" s="41">
        <f>-MAX(0,(B13+B16+B17)*Вводные!$B$41)</f>
        <v/>
      </c>
      <c r="C48" s="41">
        <f>-MAX(0,(C13+C16+C17)*Вводные!$B$41)</f>
        <v/>
      </c>
      <c r="D48" s="41">
        <f>-MAX(0,(D13+D16+D17)*Вводные!$B$41)</f>
        <v/>
      </c>
      <c r="E48" s="41">
        <f>-MAX(0,(E13+E16+E17)*Вводные!$B$41)</f>
        <v/>
      </c>
      <c r="F48" s="41">
        <f>-MAX(0,(F13+F16+F17)*Вводные!$B$41)</f>
        <v/>
      </c>
      <c r="G48" s="41">
        <f>-MAX(0,(G13+G16+G17)*Вводные!$B$41)</f>
        <v/>
      </c>
      <c r="H48" s="41">
        <f>-MAX(0,(H13+H16+H17)*Вводные!$B$41)</f>
        <v/>
      </c>
      <c r="I48" s="41">
        <f>-MAX(0,(I13+I16+I17)*Вводные!$B$41)</f>
        <v/>
      </c>
      <c r="J48" s="41">
        <f>-MAX(0,(J13+J16+J17)*Вводные!$B$41)</f>
        <v/>
      </c>
      <c r="K48" s="41">
        <f>-MAX(0,(K13+K16+K17)*Вводные!$B$41)</f>
        <v/>
      </c>
      <c r="L48" s="41">
        <f>-MAX(0,(L13+L16+L17)*Вводные!$B$41)</f>
        <v/>
      </c>
      <c r="M48" s="41">
        <f>-MAX(0,(M13+M16+M17)*Вводные!$B$41)</f>
        <v/>
      </c>
      <c r="N48" s="41">
        <f>-MAX(0,(N13+N16+N17)*Вводные!$B$41)</f>
        <v/>
      </c>
      <c r="O48" s="41">
        <f>-MAX(0,(O13+O16+O17)*Вводные!$B$41)</f>
        <v/>
      </c>
      <c r="P48" s="41">
        <f>-MAX(0,(P13+P16+P17)*Вводные!$B$41)</f>
        <v/>
      </c>
      <c r="Q48" s="41">
        <f>-MAX(0,(Q13+Q16+Q17)*Вводные!$B$41)</f>
        <v/>
      </c>
      <c r="R48" s="41">
        <f>-MAX(0,(R13+R16+R17)*Вводные!$B$41)</f>
        <v/>
      </c>
      <c r="S48" s="41">
        <f>-MAX(0,(S13+S16+S17)*Вводные!$B$41)</f>
        <v/>
      </c>
      <c r="T48" s="41">
        <f>-MAX(0,(T13+T16+T17)*Вводные!$B$41)</f>
        <v/>
      </c>
      <c r="U48" s="41">
        <f>-MAX(0,(U13+U16+U17)*Вводные!$B$41)</f>
        <v/>
      </c>
      <c r="V48" s="41">
        <f>-MAX(0,(V13+V16+V17)*Вводные!$B$41)</f>
        <v/>
      </c>
      <c r="W48" s="41">
        <f>-MAX(0,(W13+W16+W17)*Вводные!$B$41)</f>
        <v/>
      </c>
      <c r="X48" s="41">
        <f>-MAX(0,(X13+X16+X17)*Вводные!$B$41)</f>
        <v/>
      </c>
      <c r="Y48" s="41">
        <f>-MAX(0,(Y13+Y16+Y17)*Вводные!$B$41)</f>
        <v/>
      </c>
      <c r="Z48" s="41">
        <f>-MAX(0,(Z13+Z16+Z17)*Вводные!$B$41)</f>
        <v/>
      </c>
      <c r="AA48" s="41">
        <f>-MAX(0,(AA13+AA16+AA17)*Вводные!$B$41)</f>
        <v/>
      </c>
      <c r="AB48" s="41">
        <f>-MAX(0,(AB13+AB16+AB17)*Вводные!$B$41)</f>
        <v/>
      </c>
      <c r="AC48" s="41">
        <f>-MAX(0,(AC13+AC16+AC17)*Вводные!$B$41)</f>
        <v/>
      </c>
      <c r="AD48" s="41">
        <f>-MAX(0,(AD13+AD16+AD17)*Вводные!$B$41)</f>
        <v/>
      </c>
      <c r="AE48" s="41">
        <f>-MAX(0,(AE13+AE16+AE17)*Вводные!$B$41)</f>
        <v/>
      </c>
      <c r="AF48" s="41">
        <f>-MAX(0,(AF13+AF16+AF17)*Вводные!$B$41)</f>
        <v/>
      </c>
      <c r="AG48" s="41">
        <f>-MAX(0,(AG13+AG16+AG17)*Вводные!$B$41)</f>
        <v/>
      </c>
      <c r="AH48" s="41">
        <f>-MAX(0,(AH13+AH16+AH17)*Вводные!$B$41)</f>
        <v/>
      </c>
      <c r="AI48" s="41">
        <f>-MAX(0,(AI13+AI16+AI17)*Вводные!$B$41)</f>
        <v/>
      </c>
      <c r="AJ48" s="41">
        <f>-MAX(0,(AJ13+AJ16+AJ17)*Вводные!$B$41)</f>
        <v/>
      </c>
      <c r="AK48" s="41">
        <f>-MAX(0,(AK13+AK16+AK17)*Вводные!$B$41)</f>
        <v/>
      </c>
      <c r="AL48" s="39">
        <f>SUM(B48:AK48)</f>
        <v/>
      </c>
    </row>
    <row r="49">
      <c r="A49" s="40" t="inlineStr">
        <is>
          <t xml:space="preserve">   Корпоративный подоходный налог</t>
        </is>
      </c>
      <c r="B49" s="41">
        <f>B39</f>
        <v/>
      </c>
      <c r="C49" s="41">
        <f>C39</f>
        <v/>
      </c>
      <c r="D49" s="41">
        <f>D39</f>
        <v/>
      </c>
      <c r="E49" s="41">
        <f>E39</f>
        <v/>
      </c>
      <c r="F49" s="41">
        <f>F39</f>
        <v/>
      </c>
      <c r="G49" s="41">
        <f>G39</f>
        <v/>
      </c>
      <c r="H49" s="41">
        <f>H39</f>
        <v/>
      </c>
      <c r="I49" s="41">
        <f>I39</f>
        <v/>
      </c>
      <c r="J49" s="41">
        <f>J39</f>
        <v/>
      </c>
      <c r="K49" s="41">
        <f>K39</f>
        <v/>
      </c>
      <c r="L49" s="41">
        <f>L39</f>
        <v/>
      </c>
      <c r="M49" s="41">
        <f>M39</f>
        <v/>
      </c>
      <c r="N49" s="41">
        <f>N39</f>
        <v/>
      </c>
      <c r="O49" s="41">
        <f>O39</f>
        <v/>
      </c>
      <c r="P49" s="41">
        <f>P39</f>
        <v/>
      </c>
      <c r="Q49" s="41">
        <f>Q39</f>
        <v/>
      </c>
      <c r="R49" s="41">
        <f>R39</f>
        <v/>
      </c>
      <c r="S49" s="41">
        <f>S39</f>
        <v/>
      </c>
      <c r="T49" s="41">
        <f>T39</f>
        <v/>
      </c>
      <c r="U49" s="41">
        <f>U39</f>
        <v/>
      </c>
      <c r="V49" s="41">
        <f>V39</f>
        <v/>
      </c>
      <c r="W49" s="41">
        <f>W39</f>
        <v/>
      </c>
      <c r="X49" s="41">
        <f>X39</f>
        <v/>
      </c>
      <c r="Y49" s="41">
        <f>Y39</f>
        <v/>
      </c>
      <c r="Z49" s="41">
        <f>Z39</f>
        <v/>
      </c>
      <c r="AA49" s="41">
        <f>AA39</f>
        <v/>
      </c>
      <c r="AB49" s="41">
        <f>AB39</f>
        <v/>
      </c>
      <c r="AC49" s="41">
        <f>AC39</f>
        <v/>
      </c>
      <c r="AD49" s="41">
        <f>AD39</f>
        <v/>
      </c>
      <c r="AE49" s="41">
        <f>AE39</f>
        <v/>
      </c>
      <c r="AF49" s="41">
        <f>AF39</f>
        <v/>
      </c>
      <c r="AG49" s="41">
        <f>AG39</f>
        <v/>
      </c>
      <c r="AH49" s="41">
        <f>AH39</f>
        <v/>
      </c>
      <c r="AI49" s="41">
        <f>AI39</f>
        <v/>
      </c>
      <c r="AJ49" s="41">
        <f>AJ39</f>
        <v/>
      </c>
      <c r="AK49" s="41">
        <f>AK39</f>
        <v/>
      </c>
      <c r="AL49" s="39">
        <f>SUM(B49:AK49)</f>
        <v/>
      </c>
    </row>
    <row r="50">
      <c r="A50" s="40" t="inlineStr">
        <is>
          <t xml:space="preserve">   Проценты по кредиту</t>
        </is>
      </c>
      <c r="B50" s="41">
        <f>B37</f>
        <v/>
      </c>
      <c r="C50" s="41">
        <f>C37</f>
        <v/>
      </c>
      <c r="D50" s="41">
        <f>D37</f>
        <v/>
      </c>
      <c r="E50" s="41">
        <f>E37</f>
        <v/>
      </c>
      <c r="F50" s="41">
        <f>F37</f>
        <v/>
      </c>
      <c r="G50" s="41">
        <f>G37</f>
        <v/>
      </c>
      <c r="H50" s="41">
        <f>H37</f>
        <v/>
      </c>
      <c r="I50" s="41">
        <f>I37</f>
        <v/>
      </c>
      <c r="J50" s="41">
        <f>J37</f>
        <v/>
      </c>
      <c r="K50" s="41">
        <f>K37</f>
        <v/>
      </c>
      <c r="L50" s="41">
        <f>L37</f>
        <v/>
      </c>
      <c r="M50" s="41">
        <f>M37</f>
        <v/>
      </c>
      <c r="N50" s="41">
        <f>N37</f>
        <v/>
      </c>
      <c r="O50" s="41">
        <f>O37</f>
        <v/>
      </c>
      <c r="P50" s="41">
        <f>P37</f>
        <v/>
      </c>
      <c r="Q50" s="41">
        <f>Q37</f>
        <v/>
      </c>
      <c r="R50" s="41">
        <f>R37</f>
        <v/>
      </c>
      <c r="S50" s="41">
        <f>S37</f>
        <v/>
      </c>
      <c r="T50" s="41">
        <f>T37</f>
        <v/>
      </c>
      <c r="U50" s="41">
        <f>U37</f>
        <v/>
      </c>
      <c r="V50" s="41">
        <f>V37</f>
        <v/>
      </c>
      <c r="W50" s="41">
        <f>W37</f>
        <v/>
      </c>
      <c r="X50" s="41">
        <f>X37</f>
        <v/>
      </c>
      <c r="Y50" s="41">
        <f>Y37</f>
        <v/>
      </c>
      <c r="Z50" s="41">
        <f>Z37</f>
        <v/>
      </c>
      <c r="AA50" s="41">
        <f>AA37</f>
        <v/>
      </c>
      <c r="AB50" s="41">
        <f>AB37</f>
        <v/>
      </c>
      <c r="AC50" s="41">
        <f>AC37</f>
        <v/>
      </c>
      <c r="AD50" s="41">
        <f>AD37</f>
        <v/>
      </c>
      <c r="AE50" s="41">
        <f>AE37</f>
        <v/>
      </c>
      <c r="AF50" s="41">
        <f>AF37</f>
        <v/>
      </c>
      <c r="AG50" s="41">
        <f>AG37</f>
        <v/>
      </c>
      <c r="AH50" s="41">
        <f>AH37</f>
        <v/>
      </c>
      <c r="AI50" s="41">
        <f>AI37</f>
        <v/>
      </c>
      <c r="AJ50" s="41">
        <f>AJ37</f>
        <v/>
      </c>
      <c r="AK50" s="41">
        <f>AK37</f>
        <v/>
      </c>
      <c r="AL50" s="39">
        <f>SUM(B50:AK50)</f>
        <v/>
      </c>
    </row>
    <row r="51">
      <c r="A51" s="40" t="inlineStr">
        <is>
          <t xml:space="preserve">   Погашение тела кредита</t>
        </is>
      </c>
      <c r="B51" s="41">
        <f>-IF(1&lt;=Вводные!$B$51,0,Вводные!$B$48/(Вводные!$B$50-Вводные!$B$51))</f>
        <v/>
      </c>
      <c r="C51" s="41">
        <f>-IF(2&lt;=Вводные!$B$51,0,MIN(Вводные!$B$48/(Вводные!$B$50-Вводные!$B$51),MAX(0,B56)))</f>
        <v/>
      </c>
      <c r="D51" s="41">
        <f>-IF(3&lt;=Вводные!$B$51,0,MIN(Вводные!$B$48/(Вводные!$B$50-Вводные!$B$51),MAX(0,C56)))</f>
        <v/>
      </c>
      <c r="E51" s="41">
        <f>-IF(4&lt;=Вводные!$B$51,0,MIN(Вводные!$B$48/(Вводные!$B$50-Вводные!$B$51),MAX(0,D56)))</f>
        <v/>
      </c>
      <c r="F51" s="41">
        <f>-IF(5&lt;=Вводные!$B$51,0,MIN(Вводные!$B$48/(Вводные!$B$50-Вводные!$B$51),MAX(0,E56)))</f>
        <v/>
      </c>
      <c r="G51" s="41">
        <f>-IF(6&lt;=Вводные!$B$51,0,MIN(Вводные!$B$48/(Вводные!$B$50-Вводные!$B$51),MAX(0,F56)))</f>
        <v/>
      </c>
      <c r="H51" s="41">
        <f>-IF(7&lt;=Вводные!$B$51,0,MIN(Вводные!$B$48/(Вводные!$B$50-Вводные!$B$51),MAX(0,G56)))</f>
        <v/>
      </c>
      <c r="I51" s="41">
        <f>-IF(8&lt;=Вводные!$B$51,0,MIN(Вводные!$B$48/(Вводные!$B$50-Вводные!$B$51),MAX(0,H56)))</f>
        <v/>
      </c>
      <c r="J51" s="41">
        <f>-IF(9&lt;=Вводные!$B$51,0,MIN(Вводные!$B$48/(Вводные!$B$50-Вводные!$B$51),MAX(0,I56)))</f>
        <v/>
      </c>
      <c r="K51" s="41">
        <f>-IF(10&lt;=Вводные!$B$51,0,MIN(Вводные!$B$48/(Вводные!$B$50-Вводные!$B$51),MAX(0,J56)))</f>
        <v/>
      </c>
      <c r="L51" s="41">
        <f>-IF(11&lt;=Вводные!$B$51,0,MIN(Вводные!$B$48/(Вводные!$B$50-Вводные!$B$51),MAX(0,K56)))</f>
        <v/>
      </c>
      <c r="M51" s="41">
        <f>-IF(12&lt;=Вводные!$B$51,0,MIN(Вводные!$B$48/(Вводные!$B$50-Вводные!$B$51),MAX(0,L56)))</f>
        <v/>
      </c>
      <c r="N51" s="41">
        <f>-IF(13&lt;=Вводные!$B$51,0,MIN(Вводные!$B$48/(Вводные!$B$50-Вводные!$B$51),MAX(0,M56)))</f>
        <v/>
      </c>
      <c r="O51" s="41">
        <f>-IF(14&lt;=Вводные!$B$51,0,MIN(Вводные!$B$48/(Вводные!$B$50-Вводные!$B$51),MAX(0,N56)))</f>
        <v/>
      </c>
      <c r="P51" s="41">
        <f>-IF(15&lt;=Вводные!$B$51,0,MIN(Вводные!$B$48/(Вводные!$B$50-Вводные!$B$51),MAX(0,O56)))</f>
        <v/>
      </c>
      <c r="Q51" s="41">
        <f>-IF(16&lt;=Вводные!$B$51,0,MIN(Вводные!$B$48/(Вводные!$B$50-Вводные!$B$51),MAX(0,P56)))</f>
        <v/>
      </c>
      <c r="R51" s="41">
        <f>-IF(17&lt;=Вводные!$B$51,0,MIN(Вводные!$B$48/(Вводные!$B$50-Вводные!$B$51),MAX(0,Q56)))</f>
        <v/>
      </c>
      <c r="S51" s="41">
        <f>-IF(18&lt;=Вводные!$B$51,0,MIN(Вводные!$B$48/(Вводные!$B$50-Вводные!$B$51),MAX(0,R56)))</f>
        <v/>
      </c>
      <c r="T51" s="41">
        <f>-IF(19&lt;=Вводные!$B$51,0,MIN(Вводные!$B$48/(Вводные!$B$50-Вводные!$B$51),MAX(0,S56)))</f>
        <v/>
      </c>
      <c r="U51" s="41">
        <f>-IF(20&lt;=Вводные!$B$51,0,MIN(Вводные!$B$48/(Вводные!$B$50-Вводные!$B$51),MAX(0,T56)))</f>
        <v/>
      </c>
      <c r="V51" s="41">
        <f>-IF(21&lt;=Вводные!$B$51,0,MIN(Вводные!$B$48/(Вводные!$B$50-Вводные!$B$51),MAX(0,U56)))</f>
        <v/>
      </c>
      <c r="W51" s="41">
        <f>-IF(22&lt;=Вводные!$B$51,0,MIN(Вводные!$B$48/(Вводные!$B$50-Вводные!$B$51),MAX(0,V56)))</f>
        <v/>
      </c>
      <c r="X51" s="41">
        <f>-IF(23&lt;=Вводные!$B$51,0,MIN(Вводные!$B$48/(Вводные!$B$50-Вводные!$B$51),MAX(0,W56)))</f>
        <v/>
      </c>
      <c r="Y51" s="41">
        <f>-IF(24&lt;=Вводные!$B$51,0,MIN(Вводные!$B$48/(Вводные!$B$50-Вводные!$B$51),MAX(0,X56)))</f>
        <v/>
      </c>
      <c r="Z51" s="41">
        <f>-IF(25&lt;=Вводные!$B$51,0,MIN(Вводные!$B$48/(Вводные!$B$50-Вводные!$B$51),MAX(0,Y56)))</f>
        <v/>
      </c>
      <c r="AA51" s="41">
        <f>-IF(26&lt;=Вводные!$B$51,0,MIN(Вводные!$B$48/(Вводные!$B$50-Вводные!$B$51),MAX(0,Z56)))</f>
        <v/>
      </c>
      <c r="AB51" s="41">
        <f>-IF(27&lt;=Вводные!$B$51,0,MIN(Вводные!$B$48/(Вводные!$B$50-Вводные!$B$51),MAX(0,AA56)))</f>
        <v/>
      </c>
      <c r="AC51" s="41">
        <f>-IF(28&lt;=Вводные!$B$51,0,MIN(Вводные!$B$48/(Вводные!$B$50-Вводные!$B$51),MAX(0,AB56)))</f>
        <v/>
      </c>
      <c r="AD51" s="41">
        <f>-IF(29&lt;=Вводные!$B$51,0,MIN(Вводные!$B$48/(Вводные!$B$50-Вводные!$B$51),MAX(0,AC56)))</f>
        <v/>
      </c>
      <c r="AE51" s="41">
        <f>-IF(30&lt;=Вводные!$B$51,0,MIN(Вводные!$B$48/(Вводные!$B$50-Вводные!$B$51),MAX(0,AD56)))</f>
        <v/>
      </c>
      <c r="AF51" s="41">
        <f>-IF(31&lt;=Вводные!$B$51,0,MIN(Вводные!$B$48/(Вводные!$B$50-Вводные!$B$51),MAX(0,AE56)))</f>
        <v/>
      </c>
      <c r="AG51" s="41">
        <f>-IF(32&lt;=Вводные!$B$51,0,MIN(Вводные!$B$48/(Вводные!$B$50-Вводные!$B$51),MAX(0,AF56)))</f>
        <v/>
      </c>
      <c r="AH51" s="41">
        <f>-IF(33&lt;=Вводные!$B$51,0,MIN(Вводные!$B$48/(Вводные!$B$50-Вводные!$B$51),MAX(0,AG56)))</f>
        <v/>
      </c>
      <c r="AI51" s="41">
        <f>-IF(34&lt;=Вводные!$B$51,0,MIN(Вводные!$B$48/(Вводные!$B$50-Вводные!$B$51),MAX(0,AH56)))</f>
        <v/>
      </c>
      <c r="AJ51" s="41">
        <f>-IF(35&lt;=Вводные!$B$51,0,MIN(Вводные!$B$48/(Вводные!$B$50-Вводные!$B$51),MAX(0,AI56)))</f>
        <v/>
      </c>
      <c r="AK51" s="41">
        <f>-IF(36&lt;=Вводные!$B$51,0,MIN(Вводные!$B$48/(Вводные!$B$50-Вводные!$B$51),MAX(0,AJ56)))</f>
        <v/>
      </c>
      <c r="AL51" s="39">
        <f>SUM(B51:AK51)</f>
        <v/>
      </c>
    </row>
    <row r="52">
      <c r="A52" s="40" t="inlineStr">
        <is>
          <t xml:space="preserve">   Инвестиции в оборудование</t>
        </is>
      </c>
      <c r="B52" s="41">
        <f>-Вводные!$B$45</f>
        <v/>
      </c>
      <c r="C52" s="41">
        <f>0</f>
        <v/>
      </c>
      <c r="D52" s="41">
        <f>0</f>
        <v/>
      </c>
      <c r="E52" s="41">
        <f>0</f>
        <v/>
      </c>
      <c r="F52" s="41">
        <f>0</f>
        <v/>
      </c>
      <c r="G52" s="41">
        <f>0</f>
        <v/>
      </c>
      <c r="H52" s="41">
        <f>0</f>
        <v/>
      </c>
      <c r="I52" s="41">
        <f>0</f>
        <v/>
      </c>
      <c r="J52" s="41">
        <f>0</f>
        <v/>
      </c>
      <c r="K52" s="41">
        <f>0</f>
        <v/>
      </c>
      <c r="L52" s="41">
        <f>0</f>
        <v/>
      </c>
      <c r="M52" s="41">
        <f>0</f>
        <v/>
      </c>
      <c r="N52" s="41">
        <f>0</f>
        <v/>
      </c>
      <c r="O52" s="41">
        <f>0</f>
        <v/>
      </c>
      <c r="P52" s="41">
        <f>0</f>
        <v/>
      </c>
      <c r="Q52" s="41">
        <f>0</f>
        <v/>
      </c>
      <c r="R52" s="41">
        <f>0</f>
        <v/>
      </c>
      <c r="S52" s="41">
        <f>0</f>
        <v/>
      </c>
      <c r="T52" s="41">
        <f>0</f>
        <v/>
      </c>
      <c r="U52" s="41">
        <f>0</f>
        <v/>
      </c>
      <c r="V52" s="41">
        <f>0</f>
        <v/>
      </c>
      <c r="W52" s="41">
        <f>0</f>
        <v/>
      </c>
      <c r="X52" s="41">
        <f>0</f>
        <v/>
      </c>
      <c r="Y52" s="41">
        <f>0</f>
        <v/>
      </c>
      <c r="Z52" s="41">
        <f>0</f>
        <v/>
      </c>
      <c r="AA52" s="41">
        <f>0</f>
        <v/>
      </c>
      <c r="AB52" s="41">
        <f>0</f>
        <v/>
      </c>
      <c r="AC52" s="41">
        <f>0</f>
        <v/>
      </c>
      <c r="AD52" s="41">
        <f>0</f>
        <v/>
      </c>
      <c r="AE52" s="41">
        <f>0</f>
        <v/>
      </c>
      <c r="AF52" s="41">
        <f>0</f>
        <v/>
      </c>
      <c r="AG52" s="41">
        <f>0</f>
        <v/>
      </c>
      <c r="AH52" s="41">
        <f>0</f>
        <v/>
      </c>
      <c r="AI52" s="41">
        <f>0</f>
        <v/>
      </c>
      <c r="AJ52" s="41">
        <f>0</f>
        <v/>
      </c>
      <c r="AK52" s="41">
        <f>0</f>
        <v/>
      </c>
      <c r="AL52" s="39">
        <f>SUM(B52:AK52)</f>
        <v/>
      </c>
    </row>
    <row r="53">
      <c r="A53" s="40" t="inlineStr">
        <is>
          <t xml:space="preserve">   Собственные средства и кредит</t>
        </is>
      </c>
      <c r="B53" s="41">
        <f>Вводные!$B$47+Вводные!$B$48</f>
        <v/>
      </c>
      <c r="C53" s="41">
        <f>0</f>
        <v/>
      </c>
      <c r="D53" s="41">
        <f>0</f>
        <v/>
      </c>
      <c r="E53" s="41">
        <f>0</f>
        <v/>
      </c>
      <c r="F53" s="41">
        <f>0</f>
        <v/>
      </c>
      <c r="G53" s="41">
        <f>0</f>
        <v/>
      </c>
      <c r="H53" s="41">
        <f>0</f>
        <v/>
      </c>
      <c r="I53" s="41">
        <f>0</f>
        <v/>
      </c>
      <c r="J53" s="41">
        <f>0</f>
        <v/>
      </c>
      <c r="K53" s="41">
        <f>0</f>
        <v/>
      </c>
      <c r="L53" s="41">
        <f>0</f>
        <v/>
      </c>
      <c r="M53" s="41">
        <f>0</f>
        <v/>
      </c>
      <c r="N53" s="41">
        <f>0</f>
        <v/>
      </c>
      <c r="O53" s="41">
        <f>0</f>
        <v/>
      </c>
      <c r="P53" s="41">
        <f>0</f>
        <v/>
      </c>
      <c r="Q53" s="41">
        <f>0</f>
        <v/>
      </c>
      <c r="R53" s="41">
        <f>0</f>
        <v/>
      </c>
      <c r="S53" s="41">
        <f>0</f>
        <v/>
      </c>
      <c r="T53" s="41">
        <f>0</f>
        <v/>
      </c>
      <c r="U53" s="41">
        <f>0</f>
        <v/>
      </c>
      <c r="V53" s="41">
        <f>0</f>
        <v/>
      </c>
      <c r="W53" s="41">
        <f>0</f>
        <v/>
      </c>
      <c r="X53" s="41">
        <f>0</f>
        <v/>
      </c>
      <c r="Y53" s="41">
        <f>0</f>
        <v/>
      </c>
      <c r="Z53" s="41">
        <f>0</f>
        <v/>
      </c>
      <c r="AA53" s="41">
        <f>0</f>
        <v/>
      </c>
      <c r="AB53" s="41">
        <f>0</f>
        <v/>
      </c>
      <c r="AC53" s="41">
        <f>0</f>
        <v/>
      </c>
      <c r="AD53" s="41">
        <f>0</f>
        <v/>
      </c>
      <c r="AE53" s="41">
        <f>0</f>
        <v/>
      </c>
      <c r="AF53" s="41">
        <f>0</f>
        <v/>
      </c>
      <c r="AG53" s="41">
        <f>0</f>
        <v/>
      </c>
      <c r="AH53" s="41">
        <f>0</f>
        <v/>
      </c>
      <c r="AI53" s="41">
        <f>0</f>
        <v/>
      </c>
      <c r="AJ53" s="41">
        <f>0</f>
        <v/>
      </c>
      <c r="AK53" s="41">
        <f>0</f>
        <v/>
      </c>
      <c r="AL53" s="39">
        <f>SUM(B53:AK53)</f>
        <v/>
      </c>
    </row>
    <row r="54">
      <c r="A54" s="38" t="inlineStr">
        <is>
          <t>Кассовый итог за месяц</t>
        </is>
      </c>
      <c r="B54" s="39">
        <f>SUM(B44:B53)</f>
        <v/>
      </c>
      <c r="C54" s="39">
        <f>SUM(C44:C53)</f>
        <v/>
      </c>
      <c r="D54" s="39">
        <f>SUM(D44:D53)</f>
        <v/>
      </c>
      <c r="E54" s="39">
        <f>SUM(E44:E53)</f>
        <v/>
      </c>
      <c r="F54" s="39">
        <f>SUM(F44:F53)</f>
        <v/>
      </c>
      <c r="G54" s="39">
        <f>SUM(G44:G53)</f>
        <v/>
      </c>
      <c r="H54" s="39">
        <f>SUM(H44:H53)</f>
        <v/>
      </c>
      <c r="I54" s="39">
        <f>SUM(I44:I53)</f>
        <v/>
      </c>
      <c r="J54" s="39">
        <f>SUM(J44:J53)</f>
        <v/>
      </c>
      <c r="K54" s="39">
        <f>SUM(K44:K53)</f>
        <v/>
      </c>
      <c r="L54" s="39">
        <f>SUM(L44:L53)</f>
        <v/>
      </c>
      <c r="M54" s="39">
        <f>SUM(M44:M53)</f>
        <v/>
      </c>
      <c r="N54" s="39">
        <f>SUM(N44:N53)</f>
        <v/>
      </c>
      <c r="O54" s="39">
        <f>SUM(O44:O53)</f>
        <v/>
      </c>
      <c r="P54" s="39">
        <f>SUM(P44:P53)</f>
        <v/>
      </c>
      <c r="Q54" s="39">
        <f>SUM(Q44:Q53)</f>
        <v/>
      </c>
      <c r="R54" s="39">
        <f>SUM(R44:R53)</f>
        <v/>
      </c>
      <c r="S54" s="39">
        <f>SUM(S44:S53)</f>
        <v/>
      </c>
      <c r="T54" s="39">
        <f>SUM(T44:T53)</f>
        <v/>
      </c>
      <c r="U54" s="39">
        <f>SUM(U44:U53)</f>
        <v/>
      </c>
      <c r="V54" s="39">
        <f>SUM(V44:V53)</f>
        <v/>
      </c>
      <c r="W54" s="39">
        <f>SUM(W44:W53)</f>
        <v/>
      </c>
      <c r="X54" s="39">
        <f>SUM(X44:X53)</f>
        <v/>
      </c>
      <c r="Y54" s="39">
        <f>SUM(Y44:Y53)</f>
        <v/>
      </c>
      <c r="Z54" s="39">
        <f>SUM(Z44:Z53)</f>
        <v/>
      </c>
      <c r="AA54" s="39">
        <f>SUM(AA44:AA53)</f>
        <v/>
      </c>
      <c r="AB54" s="39">
        <f>SUM(AB44:AB53)</f>
        <v/>
      </c>
      <c r="AC54" s="39">
        <f>SUM(AC44:AC53)</f>
        <v/>
      </c>
      <c r="AD54" s="39">
        <f>SUM(AD44:AD53)</f>
        <v/>
      </c>
      <c r="AE54" s="39">
        <f>SUM(AE44:AE53)</f>
        <v/>
      </c>
      <c r="AF54" s="39">
        <f>SUM(AF44:AF53)</f>
        <v/>
      </c>
      <c r="AG54" s="39">
        <f>SUM(AG44:AG53)</f>
        <v/>
      </c>
      <c r="AH54" s="39">
        <f>SUM(AH44:AH53)</f>
        <v/>
      </c>
      <c r="AI54" s="39">
        <f>SUM(AI44:AI53)</f>
        <v/>
      </c>
      <c r="AJ54" s="39">
        <f>SUM(AJ44:AJ53)</f>
        <v/>
      </c>
      <c r="AK54" s="39">
        <f>SUM(AK44:AK53)</f>
        <v/>
      </c>
      <c r="AL54" s="39">
        <f>SUM(B54:AK54)</f>
        <v/>
      </c>
    </row>
    <row r="55">
      <c r="A55" s="38" t="inlineStr">
        <is>
          <t>ОСТАТОК НА КОНЕЦ МЕСЯЦА</t>
        </is>
      </c>
      <c r="B55" s="39">
        <f>B43+B54</f>
        <v/>
      </c>
      <c r="C55" s="39">
        <f>C43+C54</f>
        <v/>
      </c>
      <c r="D55" s="39">
        <f>D43+D54</f>
        <v/>
      </c>
      <c r="E55" s="39">
        <f>E43+E54</f>
        <v/>
      </c>
      <c r="F55" s="39">
        <f>F43+F54</f>
        <v/>
      </c>
      <c r="G55" s="39">
        <f>G43+G54</f>
        <v/>
      </c>
      <c r="H55" s="39">
        <f>H43+H54</f>
        <v/>
      </c>
      <c r="I55" s="39">
        <f>I43+I54</f>
        <v/>
      </c>
      <c r="J55" s="39">
        <f>J43+J54</f>
        <v/>
      </c>
      <c r="K55" s="39">
        <f>K43+K54</f>
        <v/>
      </c>
      <c r="L55" s="39">
        <f>L43+L54</f>
        <v/>
      </c>
      <c r="M55" s="39">
        <f>M43+M54</f>
        <v/>
      </c>
      <c r="N55" s="39">
        <f>N43+N54</f>
        <v/>
      </c>
      <c r="O55" s="39">
        <f>O43+O54</f>
        <v/>
      </c>
      <c r="P55" s="39">
        <f>P43+P54</f>
        <v/>
      </c>
      <c r="Q55" s="39">
        <f>Q43+Q54</f>
        <v/>
      </c>
      <c r="R55" s="39">
        <f>R43+R54</f>
        <v/>
      </c>
      <c r="S55" s="39">
        <f>S43+S54</f>
        <v/>
      </c>
      <c r="T55" s="39">
        <f>T43+T54</f>
        <v/>
      </c>
      <c r="U55" s="39">
        <f>U43+U54</f>
        <v/>
      </c>
      <c r="V55" s="39">
        <f>V43+V54</f>
        <v/>
      </c>
      <c r="W55" s="39">
        <f>W43+W54</f>
        <v/>
      </c>
      <c r="X55" s="39">
        <f>X43+X54</f>
        <v/>
      </c>
      <c r="Y55" s="39">
        <f>Y43+Y54</f>
        <v/>
      </c>
      <c r="Z55" s="39">
        <f>Z43+Z54</f>
        <v/>
      </c>
      <c r="AA55" s="39">
        <f>AA43+AA54</f>
        <v/>
      </c>
      <c r="AB55" s="39">
        <f>AB43+AB54</f>
        <v/>
      </c>
      <c r="AC55" s="39">
        <f>AC43+AC54</f>
        <v/>
      </c>
      <c r="AD55" s="39">
        <f>AD43+AD54</f>
        <v/>
      </c>
      <c r="AE55" s="39">
        <f>AE43+AE54</f>
        <v/>
      </c>
      <c r="AF55" s="39">
        <f>AF43+AF54</f>
        <v/>
      </c>
      <c r="AG55" s="39">
        <f>AG43+AG54</f>
        <v/>
      </c>
      <c r="AH55" s="39">
        <f>AH43+AH54</f>
        <v/>
      </c>
      <c r="AI55" s="39">
        <f>AI43+AI54</f>
        <v/>
      </c>
      <c r="AJ55" s="39">
        <f>AJ43+AJ54</f>
        <v/>
      </c>
      <c r="AK55" s="39">
        <f>AK43+AK54</f>
        <v/>
      </c>
      <c r="AL55" s="28" t="n"/>
    </row>
    <row r="56">
      <c r="A56" s="40" t="inlineStr">
        <is>
          <t>Справочно: остаток долга по кредиту</t>
        </is>
      </c>
      <c r="B56" s="41">
        <f>Вводные!$B$48+B51</f>
        <v/>
      </c>
      <c r="C56" s="41">
        <f>B56+C51</f>
        <v/>
      </c>
      <c r="D56" s="41">
        <f>C56+D51</f>
        <v/>
      </c>
      <c r="E56" s="41">
        <f>D56+E51</f>
        <v/>
      </c>
      <c r="F56" s="41">
        <f>E56+F51</f>
        <v/>
      </c>
      <c r="G56" s="41">
        <f>F56+G51</f>
        <v/>
      </c>
      <c r="H56" s="41">
        <f>G56+H51</f>
        <v/>
      </c>
      <c r="I56" s="41">
        <f>H56+I51</f>
        <v/>
      </c>
      <c r="J56" s="41">
        <f>I56+J51</f>
        <v/>
      </c>
      <c r="K56" s="41">
        <f>J56+K51</f>
        <v/>
      </c>
      <c r="L56" s="41">
        <f>K56+L51</f>
        <v/>
      </c>
      <c r="M56" s="41">
        <f>L56+M51</f>
        <v/>
      </c>
      <c r="N56" s="41">
        <f>M56+N51</f>
        <v/>
      </c>
      <c r="O56" s="41">
        <f>N56+O51</f>
        <v/>
      </c>
      <c r="P56" s="41">
        <f>O56+P51</f>
        <v/>
      </c>
      <c r="Q56" s="41">
        <f>P56+Q51</f>
        <v/>
      </c>
      <c r="R56" s="41">
        <f>Q56+R51</f>
        <v/>
      </c>
      <c r="S56" s="41">
        <f>R56+S51</f>
        <v/>
      </c>
      <c r="T56" s="41">
        <f>S56+T51</f>
        <v/>
      </c>
      <c r="U56" s="41">
        <f>T56+U51</f>
        <v/>
      </c>
      <c r="V56" s="41">
        <f>U56+V51</f>
        <v/>
      </c>
      <c r="W56" s="41">
        <f>V56+W51</f>
        <v/>
      </c>
      <c r="X56" s="41">
        <f>W56+X51</f>
        <v/>
      </c>
      <c r="Y56" s="41">
        <f>X56+Y51</f>
        <v/>
      </c>
      <c r="Z56" s="41">
        <f>Y56+Z51</f>
        <v/>
      </c>
      <c r="AA56" s="41">
        <f>Z56+AA51</f>
        <v/>
      </c>
      <c r="AB56" s="41">
        <f>AA56+AB51</f>
        <v/>
      </c>
      <c r="AC56" s="41">
        <f>AB56+AC51</f>
        <v/>
      </c>
      <c r="AD56" s="41">
        <f>AC56+AD51</f>
        <v/>
      </c>
      <c r="AE56" s="41">
        <f>AD56+AE51</f>
        <v/>
      </c>
      <c r="AF56" s="41">
        <f>AE56+AF51</f>
        <v/>
      </c>
      <c r="AG56" s="41">
        <f>AF56+AG51</f>
        <v/>
      </c>
      <c r="AH56" s="41">
        <f>AG56+AH51</f>
        <v/>
      </c>
      <c r="AI56" s="41">
        <f>AH56+AI51</f>
        <v/>
      </c>
      <c r="AJ56" s="41">
        <f>AI56+AJ51</f>
        <v/>
      </c>
      <c r="AK56" s="41">
        <f>AJ56+AK51</f>
        <v/>
      </c>
      <c r="AL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</row>
    <row r="58">
      <c r="A58" s="34" t="inlineStr">
        <is>
          <t>Пример из витрины. Все цифры условные и не относятся к какому-либо действующему бизнесу.</t>
        </is>
      </c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mergeCells count="2">
    <mergeCell ref="A1:AL1"/>
    <mergeCell ref="A2:A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28" t="n"/>
      <c r="B1" s="28" t="inlineStr">
        <is>
          <t>М1</t>
        </is>
      </c>
      <c r="C1" s="28" t="inlineStr">
        <is>
          <t>М2</t>
        </is>
      </c>
      <c r="D1" s="28" t="inlineStr">
        <is>
          <t>М3</t>
        </is>
      </c>
      <c r="E1" s="28" t="inlineStr">
        <is>
          <t>М4</t>
        </is>
      </c>
      <c r="F1" s="28" t="inlineStr">
        <is>
          <t>М5</t>
        </is>
      </c>
      <c r="G1" s="28" t="inlineStr">
        <is>
          <t>М6</t>
        </is>
      </c>
      <c r="H1" s="28" t="inlineStr">
        <is>
          <t>М7</t>
        </is>
      </c>
      <c r="I1" s="28" t="inlineStr">
        <is>
          <t>М8</t>
        </is>
      </c>
      <c r="J1" s="28" t="inlineStr">
        <is>
          <t>М9</t>
        </is>
      </c>
      <c r="K1" s="28" t="inlineStr">
        <is>
          <t>М10</t>
        </is>
      </c>
      <c r="L1" s="28" t="inlineStr">
        <is>
          <t>М11</t>
        </is>
      </c>
      <c r="M1" s="28" t="inlineStr">
        <is>
          <t>М12</t>
        </is>
      </c>
      <c r="N1" s="28" t="inlineStr">
        <is>
          <t>М13</t>
        </is>
      </c>
      <c r="O1" s="28" t="inlineStr">
        <is>
          <t>М14</t>
        </is>
      </c>
      <c r="P1" s="28" t="inlineStr">
        <is>
          <t>М15</t>
        </is>
      </c>
      <c r="Q1" s="28" t="inlineStr">
        <is>
          <t>М16</t>
        </is>
      </c>
      <c r="R1" s="28" t="inlineStr">
        <is>
          <t>М17</t>
        </is>
      </c>
      <c r="S1" s="28" t="inlineStr">
        <is>
          <t>М18</t>
        </is>
      </c>
      <c r="T1" s="28" t="inlineStr">
        <is>
          <t>М19</t>
        </is>
      </c>
      <c r="U1" s="28" t="inlineStr">
        <is>
          <t>М20</t>
        </is>
      </c>
      <c r="V1" s="28" t="inlineStr">
        <is>
          <t>М21</t>
        </is>
      </c>
      <c r="W1" s="28" t="inlineStr">
        <is>
          <t>М22</t>
        </is>
      </c>
      <c r="X1" s="28" t="inlineStr">
        <is>
          <t>М23</t>
        </is>
      </c>
      <c r="Y1" s="28" t="inlineStr">
        <is>
          <t>М24</t>
        </is>
      </c>
      <c r="Z1" s="28" t="inlineStr">
        <is>
          <t>М25</t>
        </is>
      </c>
      <c r="AA1" s="28" t="inlineStr">
        <is>
          <t>М26</t>
        </is>
      </c>
      <c r="AB1" s="28" t="inlineStr">
        <is>
          <t>М27</t>
        </is>
      </c>
      <c r="AC1" s="28" t="inlineStr">
        <is>
          <t>М28</t>
        </is>
      </c>
      <c r="AD1" s="28" t="inlineStr">
        <is>
          <t>М29</t>
        </is>
      </c>
      <c r="AE1" s="28" t="inlineStr">
        <is>
          <t>М30</t>
        </is>
      </c>
      <c r="AF1" s="28" t="inlineStr">
        <is>
          <t>М31</t>
        </is>
      </c>
      <c r="AG1" s="28" t="inlineStr">
        <is>
          <t>М32</t>
        </is>
      </c>
      <c r="AH1" s="28" t="inlineStr">
        <is>
          <t>М33</t>
        </is>
      </c>
      <c r="AI1" s="28" t="inlineStr">
        <is>
          <t>М34</t>
        </is>
      </c>
      <c r="AJ1" s="28" t="inlineStr">
        <is>
          <t>М35</t>
        </is>
      </c>
      <c r="AK1" s="28" t="inlineStr">
        <is>
          <t>М36</t>
        </is>
      </c>
    </row>
    <row r="2">
      <c r="A2" s="28" t="inlineStr">
        <is>
          <t>Выручка</t>
        </is>
      </c>
      <c r="B2" s="28">
        <f>Модель!B13</f>
        <v/>
      </c>
      <c r="C2" s="28">
        <f>Модель!C13</f>
        <v/>
      </c>
      <c r="D2" s="28">
        <f>Модель!D13</f>
        <v/>
      </c>
      <c r="E2" s="28">
        <f>Модель!E13</f>
        <v/>
      </c>
      <c r="F2" s="28">
        <f>Модель!F13</f>
        <v/>
      </c>
      <c r="G2" s="28">
        <f>Модель!G13</f>
        <v/>
      </c>
      <c r="H2" s="28">
        <f>Модель!H13</f>
        <v/>
      </c>
      <c r="I2" s="28">
        <f>Модель!I13</f>
        <v/>
      </c>
      <c r="J2" s="28">
        <f>Модель!J13</f>
        <v/>
      </c>
      <c r="K2" s="28">
        <f>Модель!K13</f>
        <v/>
      </c>
      <c r="L2" s="28">
        <f>Модель!L13</f>
        <v/>
      </c>
      <c r="M2" s="28">
        <f>Модель!M13</f>
        <v/>
      </c>
      <c r="N2" s="28">
        <f>Модель!N13</f>
        <v/>
      </c>
      <c r="O2" s="28">
        <f>Модель!O13</f>
        <v/>
      </c>
      <c r="P2" s="28">
        <f>Модель!P13</f>
        <v/>
      </c>
      <c r="Q2" s="28">
        <f>Модель!Q13</f>
        <v/>
      </c>
      <c r="R2" s="28">
        <f>Модель!R13</f>
        <v/>
      </c>
      <c r="S2" s="28">
        <f>Модель!S13</f>
        <v/>
      </c>
      <c r="T2" s="28">
        <f>Модель!T13</f>
        <v/>
      </c>
      <c r="U2" s="28">
        <f>Модель!U13</f>
        <v/>
      </c>
      <c r="V2" s="28">
        <f>Модель!V13</f>
        <v/>
      </c>
      <c r="W2" s="28">
        <f>Модель!W13</f>
        <v/>
      </c>
      <c r="X2" s="28">
        <f>Модель!X13</f>
        <v/>
      </c>
      <c r="Y2" s="28">
        <f>Модель!Y13</f>
        <v/>
      </c>
      <c r="Z2" s="28">
        <f>Модель!Z13</f>
        <v/>
      </c>
      <c r="AA2" s="28">
        <f>Модель!AA13</f>
        <v/>
      </c>
      <c r="AB2" s="28">
        <f>Модель!AB13</f>
        <v/>
      </c>
      <c r="AC2" s="28">
        <f>Модель!AC13</f>
        <v/>
      </c>
      <c r="AD2" s="28">
        <f>Модель!AD13</f>
        <v/>
      </c>
      <c r="AE2" s="28">
        <f>Модель!AE13</f>
        <v/>
      </c>
      <c r="AF2" s="28">
        <f>Модель!AF13</f>
        <v/>
      </c>
      <c r="AG2" s="28">
        <f>Модель!AG13</f>
        <v/>
      </c>
      <c r="AH2" s="28">
        <f>Модель!AH13</f>
        <v/>
      </c>
      <c r="AI2" s="28">
        <f>Модель!AI13</f>
        <v/>
      </c>
      <c r="AJ2" s="28">
        <f>Модель!AJ13</f>
        <v/>
      </c>
      <c r="AK2" s="28">
        <f>Модель!AK13</f>
        <v/>
      </c>
    </row>
    <row r="3">
      <c r="A3" s="28" t="inlineStr">
        <is>
          <t>EBITDA</t>
        </is>
      </c>
      <c r="B3" s="28">
        <f>Модель!B33</f>
        <v/>
      </c>
      <c r="C3" s="28">
        <f>Модель!C33</f>
        <v/>
      </c>
      <c r="D3" s="28">
        <f>Модель!D33</f>
        <v/>
      </c>
      <c r="E3" s="28">
        <f>Модель!E33</f>
        <v/>
      </c>
      <c r="F3" s="28">
        <f>Модель!F33</f>
        <v/>
      </c>
      <c r="G3" s="28">
        <f>Модель!G33</f>
        <v/>
      </c>
      <c r="H3" s="28">
        <f>Модель!H33</f>
        <v/>
      </c>
      <c r="I3" s="28">
        <f>Модель!I33</f>
        <v/>
      </c>
      <c r="J3" s="28">
        <f>Модель!J33</f>
        <v/>
      </c>
      <c r="K3" s="28">
        <f>Модель!K33</f>
        <v/>
      </c>
      <c r="L3" s="28">
        <f>Модель!L33</f>
        <v/>
      </c>
      <c r="M3" s="28">
        <f>Модель!M33</f>
        <v/>
      </c>
      <c r="N3" s="28">
        <f>Модель!N33</f>
        <v/>
      </c>
      <c r="O3" s="28">
        <f>Модель!O33</f>
        <v/>
      </c>
      <c r="P3" s="28">
        <f>Модель!P33</f>
        <v/>
      </c>
      <c r="Q3" s="28">
        <f>Модель!Q33</f>
        <v/>
      </c>
      <c r="R3" s="28">
        <f>Модель!R33</f>
        <v/>
      </c>
      <c r="S3" s="28">
        <f>Модель!S33</f>
        <v/>
      </c>
      <c r="T3" s="28">
        <f>Модель!T33</f>
        <v/>
      </c>
      <c r="U3" s="28">
        <f>Модель!U33</f>
        <v/>
      </c>
      <c r="V3" s="28">
        <f>Модель!V33</f>
        <v/>
      </c>
      <c r="W3" s="28">
        <f>Модель!W33</f>
        <v/>
      </c>
      <c r="X3" s="28">
        <f>Модель!X33</f>
        <v/>
      </c>
      <c r="Y3" s="28">
        <f>Модель!Y33</f>
        <v/>
      </c>
      <c r="Z3" s="28">
        <f>Модель!Z33</f>
        <v/>
      </c>
      <c r="AA3" s="28">
        <f>Модель!AA33</f>
        <v/>
      </c>
      <c r="AB3" s="28">
        <f>Модель!AB33</f>
        <v/>
      </c>
      <c r="AC3" s="28">
        <f>Модель!AC33</f>
        <v/>
      </c>
      <c r="AD3" s="28">
        <f>Модель!AD33</f>
        <v/>
      </c>
      <c r="AE3" s="28">
        <f>Модель!AE33</f>
        <v/>
      </c>
      <c r="AF3" s="28">
        <f>Модель!AF33</f>
        <v/>
      </c>
      <c r="AG3" s="28">
        <f>Модель!AG33</f>
        <v/>
      </c>
      <c r="AH3" s="28">
        <f>Модель!AH33</f>
        <v/>
      </c>
      <c r="AI3" s="28">
        <f>Модель!AI33</f>
        <v/>
      </c>
      <c r="AJ3" s="28">
        <f>Модель!AJ33</f>
        <v/>
      </c>
      <c r="AK3" s="28">
        <f>Модель!AK33</f>
        <v/>
      </c>
    </row>
    <row r="4">
      <c r="A4" s="28" t="inlineStr">
        <is>
          <t>Остаток на счёте</t>
        </is>
      </c>
      <c r="B4" s="28">
        <f>Модель!B55</f>
        <v/>
      </c>
      <c r="C4" s="28">
        <f>Модель!C55</f>
        <v/>
      </c>
      <c r="D4" s="28">
        <f>Модель!D55</f>
        <v/>
      </c>
      <c r="E4" s="28">
        <f>Модель!E55</f>
        <v/>
      </c>
      <c r="F4" s="28">
        <f>Модель!F55</f>
        <v/>
      </c>
      <c r="G4" s="28">
        <f>Модель!G55</f>
        <v/>
      </c>
      <c r="H4" s="28">
        <f>Модель!H55</f>
        <v/>
      </c>
      <c r="I4" s="28">
        <f>Модель!I55</f>
        <v/>
      </c>
      <c r="J4" s="28">
        <f>Модель!J55</f>
        <v/>
      </c>
      <c r="K4" s="28">
        <f>Модель!K55</f>
        <v/>
      </c>
      <c r="L4" s="28">
        <f>Модель!L55</f>
        <v/>
      </c>
      <c r="M4" s="28">
        <f>Модель!M55</f>
        <v/>
      </c>
      <c r="N4" s="28">
        <f>Модель!N55</f>
        <v/>
      </c>
      <c r="O4" s="28">
        <f>Модель!O55</f>
        <v/>
      </c>
      <c r="P4" s="28">
        <f>Модель!P55</f>
        <v/>
      </c>
      <c r="Q4" s="28">
        <f>Модель!Q55</f>
        <v/>
      </c>
      <c r="R4" s="28">
        <f>Модель!R55</f>
        <v/>
      </c>
      <c r="S4" s="28">
        <f>Модель!S55</f>
        <v/>
      </c>
      <c r="T4" s="28">
        <f>Модель!T55</f>
        <v/>
      </c>
      <c r="U4" s="28">
        <f>Модель!U55</f>
        <v/>
      </c>
      <c r="V4" s="28">
        <f>Модель!V55</f>
        <v/>
      </c>
      <c r="W4" s="28">
        <f>Модель!W55</f>
        <v/>
      </c>
      <c r="X4" s="28">
        <f>Модель!X55</f>
        <v/>
      </c>
      <c r="Y4" s="28">
        <f>Модель!Y55</f>
        <v/>
      </c>
      <c r="Z4" s="28">
        <f>Модель!Z55</f>
        <v/>
      </c>
      <c r="AA4" s="28">
        <f>Модель!AA55</f>
        <v/>
      </c>
      <c r="AB4" s="28">
        <f>Модель!AB55</f>
        <v/>
      </c>
      <c r="AC4" s="28">
        <f>Модель!AC55</f>
        <v/>
      </c>
      <c r="AD4" s="28">
        <f>Модель!AD55</f>
        <v/>
      </c>
      <c r="AE4" s="28">
        <f>Модель!AE55</f>
        <v/>
      </c>
      <c r="AF4" s="28">
        <f>Модель!AF55</f>
        <v/>
      </c>
      <c r="AG4" s="28">
        <f>Модель!AG55</f>
        <v/>
      </c>
      <c r="AH4" s="28">
        <f>Модель!AH55</f>
        <v/>
      </c>
      <c r="AI4" s="28">
        <f>Модель!AI55</f>
        <v/>
      </c>
      <c r="AJ4" s="28">
        <f>Модель!AJ55</f>
        <v/>
      </c>
      <c r="AK4" s="28">
        <f>Модель!AK55</f>
        <v/>
      </c>
    </row>
    <row r="5">
      <c r="A5" s="28" t="inlineStr">
        <is>
          <t>Маржинальная прибыль</t>
        </is>
      </c>
      <c r="B5" s="28">
        <f>Модель!B21</f>
        <v/>
      </c>
      <c r="C5" s="28">
        <f>Модель!C21</f>
        <v/>
      </c>
      <c r="D5" s="28">
        <f>Модель!D21</f>
        <v/>
      </c>
      <c r="E5" s="28">
        <f>Модель!E21</f>
        <v/>
      </c>
      <c r="F5" s="28">
        <f>Модель!F21</f>
        <v/>
      </c>
      <c r="G5" s="28">
        <f>Модель!G21</f>
        <v/>
      </c>
      <c r="H5" s="28">
        <f>Модель!H21</f>
        <v/>
      </c>
      <c r="I5" s="28">
        <f>Модель!I21</f>
        <v/>
      </c>
      <c r="J5" s="28">
        <f>Модель!J21</f>
        <v/>
      </c>
      <c r="K5" s="28">
        <f>Модель!K21</f>
        <v/>
      </c>
      <c r="L5" s="28">
        <f>Модель!L21</f>
        <v/>
      </c>
      <c r="M5" s="28">
        <f>Модель!M21</f>
        <v/>
      </c>
      <c r="N5" s="28">
        <f>Модель!N21</f>
        <v/>
      </c>
      <c r="O5" s="28">
        <f>Модель!O21</f>
        <v/>
      </c>
      <c r="P5" s="28">
        <f>Модель!P21</f>
        <v/>
      </c>
      <c r="Q5" s="28">
        <f>Модель!Q21</f>
        <v/>
      </c>
      <c r="R5" s="28">
        <f>Модель!R21</f>
        <v/>
      </c>
      <c r="S5" s="28">
        <f>Модель!S21</f>
        <v/>
      </c>
      <c r="T5" s="28">
        <f>Модель!T21</f>
        <v/>
      </c>
      <c r="U5" s="28">
        <f>Модель!U21</f>
        <v/>
      </c>
      <c r="V5" s="28">
        <f>Модель!V21</f>
        <v/>
      </c>
      <c r="W5" s="28">
        <f>Модель!W21</f>
        <v/>
      </c>
      <c r="X5" s="28">
        <f>Модель!X21</f>
        <v/>
      </c>
      <c r="Y5" s="28">
        <f>Модель!Y21</f>
        <v/>
      </c>
      <c r="Z5" s="28">
        <f>Модель!Z21</f>
        <v/>
      </c>
      <c r="AA5" s="28">
        <f>Модель!AA21</f>
        <v/>
      </c>
      <c r="AB5" s="28">
        <f>Модель!AB21</f>
        <v/>
      </c>
      <c r="AC5" s="28">
        <f>Модель!AC21</f>
        <v/>
      </c>
      <c r="AD5" s="28">
        <f>Модель!AD21</f>
        <v/>
      </c>
      <c r="AE5" s="28">
        <f>Модель!AE21</f>
        <v/>
      </c>
      <c r="AF5" s="28">
        <f>Модель!AF21</f>
        <v/>
      </c>
      <c r="AG5" s="28">
        <f>Модель!AG21</f>
        <v/>
      </c>
      <c r="AH5" s="28">
        <f>Модель!AH21</f>
        <v/>
      </c>
      <c r="AI5" s="28">
        <f>Модель!AI21</f>
        <v/>
      </c>
      <c r="AJ5" s="28">
        <f>Модель!AJ21</f>
        <v/>
      </c>
      <c r="AK5" s="28">
        <f>Модель!AK21</f>
        <v/>
      </c>
    </row>
    <row r="6">
      <c r="A6" s="28" t="inlineStr">
        <is>
          <t>Пельмени</t>
        </is>
      </c>
      <c r="B6" s="28">
        <f>Модель!B7</f>
        <v/>
      </c>
      <c r="C6" s="28">
        <f>Модель!C7</f>
        <v/>
      </c>
      <c r="D6" s="28">
        <f>Модель!D7</f>
        <v/>
      </c>
      <c r="E6" s="28">
        <f>Модель!E7</f>
        <v/>
      </c>
      <c r="F6" s="28">
        <f>Модель!F7</f>
        <v/>
      </c>
      <c r="G6" s="28">
        <f>Модель!G7</f>
        <v/>
      </c>
      <c r="H6" s="28">
        <f>Модель!H7</f>
        <v/>
      </c>
      <c r="I6" s="28">
        <f>Модель!I7</f>
        <v/>
      </c>
      <c r="J6" s="28">
        <f>Модель!J7</f>
        <v/>
      </c>
      <c r="K6" s="28">
        <f>Модель!K7</f>
        <v/>
      </c>
      <c r="L6" s="28">
        <f>Модель!L7</f>
        <v/>
      </c>
      <c r="M6" s="28">
        <f>Модель!M7</f>
        <v/>
      </c>
      <c r="N6" s="28">
        <f>Модель!N7</f>
        <v/>
      </c>
      <c r="O6" s="28">
        <f>Модель!O7</f>
        <v/>
      </c>
      <c r="P6" s="28">
        <f>Модель!P7</f>
        <v/>
      </c>
      <c r="Q6" s="28">
        <f>Модель!Q7</f>
        <v/>
      </c>
      <c r="R6" s="28">
        <f>Модель!R7</f>
        <v/>
      </c>
      <c r="S6" s="28">
        <f>Модель!S7</f>
        <v/>
      </c>
      <c r="T6" s="28">
        <f>Модель!T7</f>
        <v/>
      </c>
      <c r="U6" s="28">
        <f>Модель!U7</f>
        <v/>
      </c>
      <c r="V6" s="28">
        <f>Модель!V7</f>
        <v/>
      </c>
      <c r="W6" s="28">
        <f>Модель!W7</f>
        <v/>
      </c>
      <c r="X6" s="28">
        <f>Модель!X7</f>
        <v/>
      </c>
      <c r="Y6" s="28">
        <f>Модель!Y7</f>
        <v/>
      </c>
      <c r="Z6" s="28">
        <f>Модель!Z7</f>
        <v/>
      </c>
      <c r="AA6" s="28">
        <f>Модель!AA7</f>
        <v/>
      </c>
      <c r="AB6" s="28">
        <f>Модель!AB7</f>
        <v/>
      </c>
      <c r="AC6" s="28">
        <f>Модель!AC7</f>
        <v/>
      </c>
      <c r="AD6" s="28">
        <f>Модель!AD7</f>
        <v/>
      </c>
      <c r="AE6" s="28">
        <f>Модель!AE7</f>
        <v/>
      </c>
      <c r="AF6" s="28">
        <f>Модель!AF7</f>
        <v/>
      </c>
      <c r="AG6" s="28">
        <f>Модель!AG7</f>
        <v/>
      </c>
      <c r="AH6" s="28">
        <f>Модель!AH7</f>
        <v/>
      </c>
      <c r="AI6" s="28">
        <f>Модель!AI7</f>
        <v/>
      </c>
      <c r="AJ6" s="28">
        <f>Модель!AJ7</f>
        <v/>
      </c>
      <c r="AK6" s="28">
        <f>Модель!AK7</f>
        <v/>
      </c>
    </row>
    <row r="7">
      <c r="A7" s="28" t="inlineStr">
        <is>
          <t>Котлеты</t>
        </is>
      </c>
      <c r="B7" s="28">
        <f>Модель!B9</f>
        <v/>
      </c>
      <c r="C7" s="28">
        <f>Модель!C9</f>
        <v/>
      </c>
      <c r="D7" s="28">
        <f>Модель!D9</f>
        <v/>
      </c>
      <c r="E7" s="28">
        <f>Модель!E9</f>
        <v/>
      </c>
      <c r="F7" s="28">
        <f>Модель!F9</f>
        <v/>
      </c>
      <c r="G7" s="28">
        <f>Модель!G9</f>
        <v/>
      </c>
      <c r="H7" s="28">
        <f>Модель!H9</f>
        <v/>
      </c>
      <c r="I7" s="28">
        <f>Модель!I9</f>
        <v/>
      </c>
      <c r="J7" s="28">
        <f>Модель!J9</f>
        <v/>
      </c>
      <c r="K7" s="28">
        <f>Модель!K9</f>
        <v/>
      </c>
      <c r="L7" s="28">
        <f>Модель!L9</f>
        <v/>
      </c>
      <c r="M7" s="28">
        <f>Модель!M9</f>
        <v/>
      </c>
      <c r="N7" s="28">
        <f>Модель!N9</f>
        <v/>
      </c>
      <c r="O7" s="28">
        <f>Модель!O9</f>
        <v/>
      </c>
      <c r="P7" s="28">
        <f>Модель!P9</f>
        <v/>
      </c>
      <c r="Q7" s="28">
        <f>Модель!Q9</f>
        <v/>
      </c>
      <c r="R7" s="28">
        <f>Модель!R9</f>
        <v/>
      </c>
      <c r="S7" s="28">
        <f>Модель!S9</f>
        <v/>
      </c>
      <c r="T7" s="28">
        <f>Модель!T9</f>
        <v/>
      </c>
      <c r="U7" s="28">
        <f>Модель!U9</f>
        <v/>
      </c>
      <c r="V7" s="28">
        <f>Модель!V9</f>
        <v/>
      </c>
      <c r="W7" s="28">
        <f>Модель!W9</f>
        <v/>
      </c>
      <c r="X7" s="28">
        <f>Модель!X9</f>
        <v/>
      </c>
      <c r="Y7" s="28">
        <f>Модель!Y9</f>
        <v/>
      </c>
      <c r="Z7" s="28">
        <f>Модель!Z9</f>
        <v/>
      </c>
      <c r="AA7" s="28">
        <f>Модель!AA9</f>
        <v/>
      </c>
      <c r="AB7" s="28">
        <f>Модель!AB9</f>
        <v/>
      </c>
      <c r="AC7" s="28">
        <f>Модель!AC9</f>
        <v/>
      </c>
      <c r="AD7" s="28">
        <f>Модель!AD9</f>
        <v/>
      </c>
      <c r="AE7" s="28">
        <f>Модель!AE9</f>
        <v/>
      </c>
      <c r="AF7" s="28">
        <f>Модель!AF9</f>
        <v/>
      </c>
      <c r="AG7" s="28">
        <f>Модель!AG9</f>
        <v/>
      </c>
      <c r="AH7" s="28">
        <f>Модель!AH9</f>
        <v/>
      </c>
      <c r="AI7" s="28">
        <f>Модель!AI9</f>
        <v/>
      </c>
      <c r="AJ7" s="28">
        <f>Модель!AJ9</f>
        <v/>
      </c>
      <c r="AK7" s="28">
        <f>Модель!AK9</f>
        <v/>
      </c>
    </row>
    <row r="8">
      <c r="A8" s="28" t="inlineStr">
        <is>
          <t>Вареники</t>
        </is>
      </c>
      <c r="B8" s="28">
        <f>Модель!B11</f>
        <v/>
      </c>
      <c r="C8" s="28">
        <f>Модель!C11</f>
        <v/>
      </c>
      <c r="D8" s="28">
        <f>Модель!D11</f>
        <v/>
      </c>
      <c r="E8" s="28">
        <f>Модель!E11</f>
        <v/>
      </c>
      <c r="F8" s="28">
        <f>Модель!F11</f>
        <v/>
      </c>
      <c r="G8" s="28">
        <f>Модель!G11</f>
        <v/>
      </c>
      <c r="H8" s="28">
        <f>Модель!H11</f>
        <v/>
      </c>
      <c r="I8" s="28">
        <f>Модель!I11</f>
        <v/>
      </c>
      <c r="J8" s="28">
        <f>Модель!J11</f>
        <v/>
      </c>
      <c r="K8" s="28">
        <f>Модель!K11</f>
        <v/>
      </c>
      <c r="L8" s="28">
        <f>Модель!L11</f>
        <v/>
      </c>
      <c r="M8" s="28">
        <f>Модель!M11</f>
        <v/>
      </c>
      <c r="N8" s="28">
        <f>Модель!N11</f>
        <v/>
      </c>
      <c r="O8" s="28">
        <f>Модель!O11</f>
        <v/>
      </c>
      <c r="P8" s="28">
        <f>Модель!P11</f>
        <v/>
      </c>
      <c r="Q8" s="28">
        <f>Модель!Q11</f>
        <v/>
      </c>
      <c r="R8" s="28">
        <f>Модель!R11</f>
        <v/>
      </c>
      <c r="S8" s="28">
        <f>Модель!S11</f>
        <v/>
      </c>
      <c r="T8" s="28">
        <f>Модель!T11</f>
        <v/>
      </c>
      <c r="U8" s="28">
        <f>Модель!U11</f>
        <v/>
      </c>
      <c r="V8" s="28">
        <f>Модель!V11</f>
        <v/>
      </c>
      <c r="W8" s="28">
        <f>Модель!W11</f>
        <v/>
      </c>
      <c r="X8" s="28">
        <f>Модель!X11</f>
        <v/>
      </c>
      <c r="Y8" s="28">
        <f>Модель!Y11</f>
        <v/>
      </c>
      <c r="Z8" s="28">
        <f>Модель!Z11</f>
        <v/>
      </c>
      <c r="AA8" s="28">
        <f>Модель!AA11</f>
        <v/>
      </c>
      <c r="AB8" s="28">
        <f>Модель!AB11</f>
        <v/>
      </c>
      <c r="AC8" s="28">
        <f>Модель!AC11</f>
        <v/>
      </c>
      <c r="AD8" s="28">
        <f>Модель!AD11</f>
        <v/>
      </c>
      <c r="AE8" s="28">
        <f>Модель!AE11</f>
        <v/>
      </c>
      <c r="AF8" s="28">
        <f>Модель!AF11</f>
        <v/>
      </c>
      <c r="AG8" s="28">
        <f>Модель!AG11</f>
        <v/>
      </c>
      <c r="AH8" s="28">
        <f>Модель!AH11</f>
        <v/>
      </c>
      <c r="AI8" s="28">
        <f>Модель!AI11</f>
        <v/>
      </c>
      <c r="AJ8" s="28">
        <f>Модель!AJ11</f>
        <v/>
      </c>
      <c r="AK8" s="28">
        <f>Модель!AK11</f>
        <v/>
      </c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</row>
    <row r="10">
      <c r="A10" s="28" t="inlineStr">
        <is>
          <t>Сырьё</t>
        </is>
      </c>
      <c r="B10" s="28">
        <f>ABS(Модель!AL16)</f>
        <v/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</row>
    <row r="11">
      <c r="A11" s="28" t="inlineStr">
        <is>
          <t>Упаковка</t>
        </is>
      </c>
      <c r="B11" s="28">
        <f>ABS(Модель!AL17)</f>
        <v/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</row>
    <row r="12">
      <c r="A12" s="28" t="inlineStr">
        <is>
          <t>Логистика</t>
        </is>
      </c>
      <c r="B12" s="28">
        <f>ABS(Модель!AL18)</f>
        <v/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</row>
    <row r="13">
      <c r="A13" s="28" t="inlineStr">
        <is>
          <t>Маркетинг</t>
        </is>
      </c>
      <c r="B13" s="28">
        <f>ABS(Модель!AL19)</f>
        <v/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</row>
    <row r="14">
      <c r="A14" s="28" t="inlineStr">
        <is>
          <t>Оплата труда: производство</t>
        </is>
      </c>
      <c r="B14" s="28">
        <f>ABS(Модель!AL25)</f>
        <v/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</row>
    <row r="15">
      <c r="A15" s="28" t="inlineStr">
        <is>
          <t>Оплата труда: администрация</t>
        </is>
      </c>
      <c r="B15" s="28">
        <f>ABS(Модель!AL26)</f>
        <v/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</row>
    <row r="16">
      <c r="A16" s="28" t="inlineStr">
        <is>
          <t>Аренда</t>
        </is>
      </c>
      <c r="B16" s="28">
        <f>ABS(Модель!AL27)</f>
        <v/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</row>
    <row r="17">
      <c r="A17" s="28" t="inlineStr">
        <is>
          <t>Коммунальные</t>
        </is>
      </c>
      <c r="B17" s="28">
        <f>ABS(Модель!AL28)</f>
        <v/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</row>
    <row r="18">
      <c r="A18" s="28" t="inlineStr">
        <is>
          <t>Обслуживание оборудования</t>
        </is>
      </c>
      <c r="B18" s="28">
        <f>ABS(Модель!AL29)</f>
        <v/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</row>
    <row r="19">
      <c r="A19" s="28" t="inlineStr">
        <is>
          <t>Связь и обслуживание</t>
        </is>
      </c>
      <c r="B19" s="28">
        <f>ABS(Модель!AL30)</f>
        <v/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</row>
    <row r="20">
      <c r="A20" s="28" t="inlineStr">
        <is>
          <t>Прочие</t>
        </is>
      </c>
      <c r="B20" s="28">
        <f>ABS(Модель!AL31)</f>
        <v/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939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2026-09-05T16:45:11Z</dcterms:created>
  <dcterms:modified xmlns:dcterms="http://purl.org/dc/terms/" xmlns:xsi="http://www.w3.org/2001/XMLSchema-instance" xsi:type="dcterms:W3CDTF">2026-09-05T16:46:37Z</dcterms:modified>
</cp:coreProperties>
</file>
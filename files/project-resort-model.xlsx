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939F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эшборд" sheetId="1" state="visible" r:id="rId1"/>
    <sheet xmlns:r="http://schemas.openxmlformats.org/officeDocument/2006/relationships" name="Вводные" sheetId="2" state="visible" r:id="rId2"/>
    <sheet xmlns:r="http://schemas.openxmlformats.org/officeDocument/2006/relationships" name="Инвестфаза" sheetId="3" state="visible" r:id="rId3"/>
    <sheet xmlns:r="http://schemas.openxmlformats.org/officeDocument/2006/relationships" name="Модель" sheetId="4" state="visible" r:id="rId4"/>
    <sheet xmlns:r="http://schemas.openxmlformats.org/officeDocument/2006/relationships" name="Чувствительность" sheetId="5" state="visible" r:id="rId5"/>
    <sheet xmlns:r="http://schemas.openxmlformats.org/officeDocument/2006/relationships" name="_График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,,\ &quot;млн&quot;"/>
    <numFmt numFmtId="165" formatCode="0.0%"/>
    <numFmt numFmtId="166" formatCode="#,##0.0"/>
    <numFmt numFmtId="167" formatCode="0.0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b val="1"/>
      <color rgb="00FFFFFF"/>
      <sz val="11"/>
    </font>
    <font>
      <sz val="10"/>
    </font>
    <font>
      <b val="1"/>
      <sz val="10"/>
    </font>
    <font>
      <i val="1"/>
      <color rgb="00667085"/>
      <sz val="9"/>
    </font>
    <font>
      <color rgb="00667085"/>
      <sz val="9"/>
    </font>
    <font>
      <b val="1"/>
      <color rgb="001F3864"/>
      <sz val="1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  <fill>
      <patternFill patternType="solid">
        <fgColor rgb="00FFF6E5"/>
      </patternFill>
    </fill>
    <fill>
      <patternFill patternType="solid">
        <fgColor rgb="00EAF1F8"/>
      </patternFill>
    </fill>
    <fill>
      <patternFill patternType="solid">
        <fgColor rgb="00F2F4F7"/>
      </patternFill>
    </fill>
  </fills>
  <borders count="5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164" fontId="8" fillId="5" borderId="1" applyAlignment="1" pivotButton="0" quotePrefix="0" xfId="0">
      <alignment horizontal="center"/>
    </xf>
    <xf numFmtId="165" fontId="8" fillId="5" borderId="1" applyAlignment="1" pivotButton="0" quotePrefix="0" xfId="0">
      <alignment horizontal="center"/>
    </xf>
    <xf numFmtId="49" fontId="8" fillId="5" borderId="1" applyAlignment="1" pivotButton="0" quotePrefix="0" xfId="0">
      <alignment horizontal="center"/>
    </xf>
    <xf numFmtId="166" fontId="8" fillId="5" borderId="1" applyAlignment="1" pivotButton="0" quotePrefix="0" xfId="0">
      <alignment horizontal="center"/>
    </xf>
    <xf numFmtId="0" fontId="6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applyAlignment="1" pivotButton="0" quotePrefix="0" xfId="0">
      <alignment indent="1"/>
    </xf>
    <xf numFmtId="3" fontId="5" fillId="4" borderId="1" pivotButton="0" quotePrefix="0" xfId="0"/>
    <xf numFmtId="0" fontId="5" fillId="0" borderId="0" applyAlignment="1" pivotButton="0" quotePrefix="0" xfId="0">
      <alignment indent="1"/>
    </xf>
    <xf numFmtId="3" fontId="5" fillId="5" borderId="1" pivotButton="0" quotePrefix="0" xfId="0"/>
    <xf numFmtId="9" fontId="5" fillId="4" borderId="1" pivotButton="0" quotePrefix="0" xfId="0"/>
    <xf numFmtId="166" fontId="5" fillId="4" borderId="1" pivotButton="0" quotePrefix="0" xfId="0"/>
    <xf numFmtId="165" fontId="5" fillId="5" borderId="1" pivotButton="0" quotePrefix="0" xfId="0"/>
    <xf numFmtId="0" fontId="5" fillId="6" borderId="0" pivotButton="0" quotePrefix="0" xfId="0"/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165" fontId="4" fillId="0" borderId="1" pivotButton="0" quotePrefix="0" xfId="0"/>
    <xf numFmtId="165" fontId="5" fillId="0" borderId="1" pivotButton="0" quotePrefix="0" xfId="0"/>
    <xf numFmtId="3" fontId="4" fillId="0" borderId="1" pivotButton="0" quotePrefix="0" xfId="0"/>
    <xf numFmtId="3" fontId="5" fillId="0" borderId="1" pivotButton="0" quotePrefix="0" xfId="0"/>
    <xf numFmtId="166" fontId="5" fillId="0" borderId="1" pivotButton="0" quotePrefix="0" xfId="0"/>
    <xf numFmtId="167" fontId="4" fillId="0" borderId="1" pivotButton="0" quotePrefix="0" xfId="0"/>
    <xf numFmtId="0" fontId="5" fillId="0" borderId="0" pivotButton="0" quotePrefix="0" xfId="0"/>
    <xf numFmtId="0" fontId="0" fillId="0" borderId="4" pivotButton="0" quotePrefix="0" xfId="0"/>
    <xf numFmtId="164" fontId="8" fillId="5" borderId="1" applyAlignment="1" pivotButton="0" quotePrefix="0" xfId="0">
      <alignment horizontal="center"/>
    </xf>
    <xf numFmtId="166" fontId="8" fillId="5" borderId="1" applyAlignment="1" pivotButton="0" quotePrefix="0" xfId="0">
      <alignment horizontal="center"/>
    </xf>
    <xf numFmtId="166" fontId="5" fillId="4" borderId="1" pivotButton="0" quotePrefix="0" xfId="0"/>
    <xf numFmtId="166" fontId="5" fillId="0" borderId="1" pivotButton="0" quotePrefix="0" xfId="0"/>
    <xf numFmtId="167" fontId="4" fillId="0" borderId="1" pivotButton="0" quotePrefix="0" xfId="0"/>
    <xf numFmtId="0" fontId="1" fillId="2" borderId="0" applyAlignment="1" applyProtection="1" pivotButton="0" quotePrefix="0" xfId="0">
      <alignment vertical="center" indent="1"/>
      <protection locked="1" hidden="1"/>
    </xf>
    <xf numFmtId="0" fontId="0" fillId="0" borderId="0" applyProtection="1" pivotButton="0" quotePrefix="0" xfId="0">
      <protection locked="1" hidden="1"/>
    </xf>
    <xf numFmtId="0" fontId="2" fillId="2" borderId="0" applyAlignment="1" applyProtection="1" pivotButton="0" quotePrefix="0" xfId="0">
      <alignment vertical="center" indent="1"/>
      <protection locked="1" hidden="1"/>
    </xf>
    <xf numFmtId="0" fontId="7" fillId="5" borderId="1" applyAlignment="1" applyProtection="1" pivotButton="0" quotePrefix="0" xfId="0">
      <alignment horizontal="center"/>
      <protection locked="1" hidden="1"/>
    </xf>
    <xf numFmtId="0" fontId="0" fillId="0" borderId="4" applyProtection="1" pivotButton="0" quotePrefix="0" xfId="0">
      <protection locked="1" hidden="1"/>
    </xf>
    <xf numFmtId="164" fontId="8" fillId="5" borderId="1" applyAlignment="1" applyProtection="1" pivotButton="0" quotePrefix="0" xfId="0">
      <alignment horizontal="center"/>
      <protection locked="1" hidden="1"/>
    </xf>
    <xf numFmtId="165" fontId="8" fillId="5" borderId="1" applyAlignment="1" applyProtection="1" pivotButton="0" quotePrefix="0" xfId="0">
      <alignment horizontal="center"/>
      <protection locked="1" hidden="1"/>
    </xf>
    <xf numFmtId="49" fontId="8" fillId="5" borderId="1" applyAlignment="1" applyProtection="1" pivotButton="0" quotePrefix="0" xfId="0">
      <alignment horizontal="center"/>
      <protection locked="1" hidden="1"/>
    </xf>
    <xf numFmtId="166" fontId="8" fillId="5" borderId="1" applyAlignment="1" applyProtection="1" pivotButton="0" quotePrefix="0" xfId="0">
      <alignment horizontal="center"/>
      <protection locked="1" hidden="1"/>
    </xf>
    <xf numFmtId="0" fontId="6" fillId="0" borderId="0" applyProtection="1" pivotButton="0" quotePrefix="0" xfId="0">
      <protection locked="1" hidden="1"/>
    </xf>
    <xf numFmtId="0" fontId="3" fillId="3" borderId="0" applyProtection="1" pivotButton="0" quotePrefix="0" xfId="0">
      <protection locked="1" hidden="1"/>
    </xf>
    <xf numFmtId="0" fontId="0" fillId="3" borderId="0" applyProtection="1" pivotButton="0" quotePrefix="0" xfId="0">
      <protection locked="1" hidden="1"/>
    </xf>
    <xf numFmtId="0" fontId="4" fillId="0" borderId="0" applyAlignment="1" applyProtection="1" pivotButton="0" quotePrefix="0" xfId="0">
      <alignment indent="1"/>
      <protection locked="1" hidden="1"/>
    </xf>
    <xf numFmtId="3" fontId="5" fillId="4" borderId="1" applyProtection="1" pivotButton="0" quotePrefix="0" xfId="0">
      <protection locked="0" hidden="0"/>
    </xf>
    <xf numFmtId="0" fontId="5" fillId="0" borderId="0" applyAlignment="1" applyProtection="1" pivotButton="0" quotePrefix="0" xfId="0">
      <alignment indent="1"/>
      <protection locked="1" hidden="1"/>
    </xf>
    <xf numFmtId="3" fontId="5" fillId="5" borderId="1" applyProtection="1" pivotButton="0" quotePrefix="0" xfId="0">
      <protection locked="1" hidden="1"/>
    </xf>
    <xf numFmtId="9" fontId="5" fillId="4" borderId="1" applyProtection="1" pivotButton="0" quotePrefix="0" xfId="0">
      <protection locked="0" hidden="0"/>
    </xf>
    <xf numFmtId="166" fontId="5" fillId="4" borderId="1" applyProtection="1" pivotButton="0" quotePrefix="0" xfId="0">
      <protection locked="0" hidden="0"/>
    </xf>
    <xf numFmtId="165" fontId="5" fillId="5" borderId="1" applyProtection="1" pivotButton="0" quotePrefix="0" xfId="0">
      <protection locked="1" hidden="1"/>
    </xf>
    <xf numFmtId="0" fontId="5" fillId="6" borderId="0" applyProtection="1" pivotButton="0" quotePrefix="0" xfId="0">
      <protection locked="1" hidden="1"/>
    </xf>
    <xf numFmtId="0" fontId="5" fillId="6" borderId="1" applyAlignment="1" applyProtection="1" pivotButton="0" quotePrefix="0" xfId="0">
      <alignment horizontal="center"/>
      <protection locked="1" hidden="1"/>
    </xf>
    <xf numFmtId="0" fontId="5" fillId="6" borderId="1" applyProtection="1" pivotButton="0" quotePrefix="0" xfId="0">
      <protection locked="1" hidden="1"/>
    </xf>
    <xf numFmtId="165" fontId="4" fillId="0" borderId="1" applyProtection="1" pivotButton="0" quotePrefix="0" xfId="0">
      <protection locked="1" hidden="1"/>
    </xf>
    <xf numFmtId="165" fontId="5" fillId="0" borderId="1" applyProtection="1" pivotButton="0" quotePrefix="0" xfId="0">
      <protection locked="1" hidden="1"/>
    </xf>
    <xf numFmtId="3" fontId="4" fillId="0" borderId="1" applyProtection="1" pivotButton="0" quotePrefix="0" xfId="0">
      <protection locked="1" hidden="1"/>
    </xf>
    <xf numFmtId="3" fontId="5" fillId="0" borderId="1" applyProtection="1" pivotButton="0" quotePrefix="0" xfId="0">
      <protection locked="1" hidden="1"/>
    </xf>
    <xf numFmtId="166" fontId="5" fillId="0" borderId="1" applyProtection="1" pivotButton="0" quotePrefix="0" xfId="0">
      <protection locked="1" hidden="1"/>
    </xf>
    <xf numFmtId="167" fontId="4" fillId="0" borderId="1" applyProtection="1" pivotButton="0" quotePrefix="0" xfId="0">
      <protection locked="1" hidden="1"/>
    </xf>
    <xf numFmtId="0" fontId="5" fillId="0" borderId="0" applyProtection="1" pivotButton="0" quotePrefix="0" xfId="0">
      <protection locked="1" hidden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и EBITDA по годам, 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'_График'!A2</f>
            </strRef>
          </tx>
          <spPr>
            <a:ln xmlns:a="http://schemas.openxmlformats.org/drawingml/2006/main">
              <a:prstDash val="solid"/>
            </a:ln>
          </spPr>
          <cat>
            <numRef>
              <f>'_График'!$B$1:$L$1</f>
            </numRef>
          </cat>
          <val>
            <numRef>
              <f>'_График'!$B$2:$L$2</f>
            </numRef>
          </val>
        </ser>
        <ser>
          <idx val="1"/>
          <order val="1"/>
          <tx>
            <strRef>
              <f>'_График'!A3</f>
            </strRef>
          </tx>
          <spPr>
            <a:ln xmlns:a="http://schemas.openxmlformats.org/drawingml/2006/main">
              <a:prstDash val="solid"/>
            </a:ln>
          </spPr>
          <cat>
            <numRef>
              <f>'_График'!$B$1:$L$1</f>
            </numRef>
          </cat>
          <val>
            <numRef>
              <f>'_График'!$B$3:$L$3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Накопленный дисконтированный поток, ₸</a:t>
            </a:r>
          </a:p>
        </rich>
      </tx>
    </title>
    <plotArea>
      <lineChart>
        <grouping val="standard"/>
        <ser>
          <idx val="0"/>
          <order val="0"/>
          <tx>
            <strRef>
              <f>'_График'!A5</f>
            </strRef>
          </tx>
          <spPr>
            <a:ln xmlns:a="http://schemas.openxmlformats.org/drawingml/2006/main" w="2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'_График'!$B$1:$L$1</f>
            </numRef>
          </cat>
          <val>
            <numRef>
              <f>'_График'!$B$5:$L$5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Структура инвестиций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'_График'!$A$12:$A$16</f>
            </numRef>
          </cat>
          <val>
            <numRef>
              <f>'_График'!$B$12:$B$16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Загрузка по годам, %</a:t>
            </a:r>
          </a:p>
        </rich>
      </tx>
    </title>
    <plotArea>
      <lineChart>
        <grouping val="standard"/>
        <ser>
          <idx val="0"/>
          <order val="0"/>
          <tx>
            <strRef>
              <f>'_График'!A6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'_График'!$B$1:$L$1</f>
            </numRef>
          </cat>
          <val>
            <numRef>
              <f>'_График'!$B$6:$L$6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проекта при разной загрузке, ₸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'_График'!$A$18:$A$22</f>
            </numRef>
          </cat>
          <val>
            <numRef>
              <f>'_График'!$B$18:$B$22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Обслуживание долга: DSCR и остаток долга</a:t>
            </a:r>
          </a:p>
        </rich>
      </tx>
    </title>
    <plotArea>
      <lineChart>
        <grouping val="standard"/>
        <ser>
          <idx val="0"/>
          <order val="0"/>
          <tx>
            <strRef>
              <f>'_График'!A8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'_График'!$B$1:$L$1</f>
            </numRef>
          </cat>
          <val>
            <numRef>
              <f>'_График'!$B$8:$L$8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'_График'!A9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'_График'!$B$9:$L$9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DSCR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Долг, 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Освоение инвестиций по месяцам, ₸</a:t>
            </a:r>
          </a:p>
        </rich>
      </tx>
    </title>
    <plotArea>
      <lineChart>
        <grouping val="standard"/>
        <ser>
          <idx val="0"/>
          <order val="0"/>
          <tx>
            <strRef>
              <f>'_График'!A24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'_График'!$B$1:$Y$1</f>
            </numRef>
          </cat>
          <val>
            <numRef>
              <f>'_График'!$B$24:$Y$24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43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24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43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40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56</row>
      <rowOff>0</rowOff>
    </from>
    <ext cx="1008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4" customHeight="1">
      <c r="A1" s="36" t="inlineStr">
        <is>
          <t>БАЗА ОТДЫХА НА 12 ГОСТЕВЫХ ДОМОВ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</row>
    <row r="2" ht="18" customHeight="1">
      <c r="A2" s="38" t="inlineStr">
        <is>
          <t>Инвестиционный дэшборд · 12 домов · строительство 24 мес. · горизонт 10 лет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</row>
    <row r="4">
      <c r="A4" s="39" t="inlineStr">
        <is>
          <t>Инвестиции</t>
        </is>
      </c>
      <c r="B4" s="40" t="n"/>
      <c r="C4" s="39" t="inlineStr">
        <is>
          <t>NPV проекта</t>
        </is>
      </c>
      <c r="D4" s="40" t="n"/>
      <c r="E4" s="39" t="inlineStr">
        <is>
          <t>IRR проекта</t>
        </is>
      </c>
      <c r="F4" s="40" t="n"/>
      <c r="G4" s="39" t="inlineStr">
        <is>
          <t>IRR собственника</t>
        </is>
      </c>
      <c r="H4" s="40" t="n"/>
      <c r="I4" s="39" t="inlineStr">
        <is>
          <t>Окупаемость, лет</t>
        </is>
      </c>
      <c r="J4" s="40" t="n"/>
      <c r="K4" s="39" t="inlineStr">
        <is>
          <t>Минимальный DSCR</t>
        </is>
      </c>
      <c r="L4" s="40" t="n"/>
    </row>
    <row r="5" ht="30" customHeight="1">
      <c r="A5" s="41">
        <f>Вводные!$B$11</f>
        <v/>
      </c>
      <c r="B5" s="40" t="n"/>
      <c r="C5" s="41">
        <f>Модель!L44</f>
        <v/>
      </c>
      <c r="D5" s="40" t="n"/>
      <c r="E5" s="42">
        <f>IRR(Модель!B40:L40)</f>
        <v/>
      </c>
      <c r="F5" s="40" t="n"/>
      <c r="G5" s="42">
        <f>IRR(Модель!B41:L41)</f>
        <v/>
      </c>
      <c r="H5" s="40" t="n"/>
      <c r="I5" s="43">
        <f>IF(SUMPRODUCT(--(Модель!B44:L44&lt;0))=11,"свыше 10 лет",SUMPRODUCT(--(Модель!B44:L44&lt;0)))</f>
        <v/>
      </c>
      <c r="J5" s="40" t="n"/>
      <c r="K5" s="44">
        <f>MIN(Модель!D36:L36)</f>
        <v/>
      </c>
      <c r="L5" s="40" t="n"/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</row>
    <row r="7">
      <c r="A7" s="45" t="inlineStr">
        <is>
          <t>Ставка дисконтирования — WACC, считается из структуры финансирования на листе «Вводные». Ковенант банка по DSCR задан там же.</t>
        </is>
      </c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</row>
    <row r="73">
      <c r="A73" s="45" t="inlineStr">
        <is>
          <t>Пример из витрины. Все цифры условные и не относятся к какому-либо действующему проекту.</t>
        </is>
      </c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939F"/>
  <mergeCells count="14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K5:L5"/>
    <mergeCell ref="I5:J5"/>
    <mergeCell ref="A2:J2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44" customWidth="1" min="3" max="3"/>
  </cols>
  <sheetData>
    <row r="1" ht="34" customHeight="1">
      <c r="A1" s="36" t="inlineStr">
        <is>
          <t>БАЗА ОТДЫХА НА 12 ГОСТЕВЫХ ДОМОВ — ВВОДНЫЕ</t>
        </is>
      </c>
      <c r="B1" s="37" t="n"/>
      <c r="C1" s="37" t="n"/>
      <c r="D1" s="37" t="n"/>
      <c r="E1" s="37" t="n"/>
    </row>
    <row r="2" ht="18" customHeight="1">
      <c r="A2" s="38" t="inlineStr">
        <is>
          <t>Проектный уровень · строительство 24 месяца, эксплуатация 9 лет · данные синтетические</t>
        </is>
      </c>
      <c r="B2" s="37" t="n"/>
      <c r="C2" s="37" t="n"/>
      <c r="D2" s="37" t="n"/>
      <c r="E2" s="37" t="n"/>
    </row>
    <row r="3">
      <c r="A3" s="37" t="n"/>
      <c r="B3" s="37" t="n"/>
      <c r="C3" s="37" t="n"/>
      <c r="D3" s="37" t="n"/>
      <c r="E3" s="37" t="n"/>
    </row>
    <row r="4">
      <c r="A4" s="46" t="inlineStr">
        <is>
          <t>ИНВЕСТИЦИИ, ₸</t>
        </is>
      </c>
      <c r="B4" s="47" t="n"/>
      <c r="C4" s="47" t="n"/>
      <c r="D4" s="47" t="n"/>
      <c r="E4" s="47" t="n"/>
    </row>
    <row r="5">
      <c r="A5" s="48" t="inlineStr">
        <is>
          <t>Земельный участок</t>
        </is>
      </c>
      <c r="B5" s="49" t="n">
        <v>25000000</v>
      </c>
      <c r="C5" s="45" t="inlineStr">
        <is>
          <t>месяц 1</t>
        </is>
      </c>
      <c r="D5" s="37" t="n"/>
      <c r="E5" s="37" t="n"/>
    </row>
    <row r="6">
      <c r="A6" s="48" t="inlineStr">
        <is>
          <t>Проектирование и согласования</t>
        </is>
      </c>
      <c r="B6" s="49" t="n">
        <v>15000000</v>
      </c>
      <c r="C6" s="45" t="inlineStr">
        <is>
          <t>месяцы 1–4</t>
        </is>
      </c>
      <c r="D6" s="37" t="n"/>
      <c r="E6" s="37" t="n"/>
    </row>
    <row r="7">
      <c r="A7" s="48" t="inlineStr">
        <is>
          <t>Стоимость одного гостевого дома</t>
        </is>
      </c>
      <c r="B7" s="49" t="n">
        <v>15000000</v>
      </c>
      <c r="C7" s="45" t="inlineStr">
        <is>
          <t>кривая освоения — лист «Инвестфаза»</t>
        </is>
      </c>
      <c r="D7" s="37" t="n"/>
      <c r="E7" s="37" t="n"/>
    </row>
    <row r="8">
      <c r="A8" s="48" t="inlineStr">
        <is>
          <t>Количество домов</t>
        </is>
      </c>
      <c r="B8" s="49" t="n">
        <v>12</v>
      </c>
      <c r="C8" s="37" t="n"/>
      <c r="D8" s="37" t="n"/>
      <c r="E8" s="37" t="n"/>
    </row>
    <row r="9">
      <c r="A9" s="48" t="inlineStr">
        <is>
          <t>Инженерные сети и благоустройство</t>
        </is>
      </c>
      <c r="B9" s="49" t="n">
        <v>60000000</v>
      </c>
      <c r="C9" s="45" t="inlineStr">
        <is>
          <t>месяцы 5–20</t>
        </is>
      </c>
      <c r="D9" s="37" t="n"/>
      <c r="E9" s="37" t="n"/>
    </row>
    <row r="10">
      <c r="A10" s="48" t="inlineStr">
        <is>
          <t>Мебель, оборудование, текстиль</t>
        </is>
      </c>
      <c r="B10" s="49" t="n">
        <v>36000000</v>
      </c>
      <c r="C10" s="45" t="inlineStr">
        <is>
          <t>месяцы 19–24</t>
        </is>
      </c>
      <c r="D10" s="37" t="n"/>
      <c r="E10" s="37" t="n"/>
    </row>
    <row r="11">
      <c r="A11" s="50" t="inlineStr">
        <is>
          <t>ИТОГО инвестиции</t>
        </is>
      </c>
      <c r="B11" s="51">
        <f>B5+B6+B7*B8+B9+B10</f>
        <v/>
      </c>
      <c r="C11" s="37" t="n"/>
      <c r="D11" s="37" t="n"/>
      <c r="E11" s="37" t="n"/>
    </row>
    <row r="12">
      <c r="A12" s="37" t="n"/>
      <c r="B12" s="37" t="n"/>
      <c r="C12" s="37" t="n"/>
      <c r="D12" s="37" t="n"/>
      <c r="E12" s="37" t="n"/>
    </row>
    <row r="13">
      <c r="A13" s="46" t="inlineStr">
        <is>
          <t>ЭКСПЛУАТАЦИЯ</t>
        </is>
      </c>
      <c r="B13" s="47" t="n"/>
      <c r="C13" s="47" t="n"/>
      <c r="D13" s="47" t="n"/>
      <c r="E13" s="47" t="n"/>
    </row>
    <row r="14">
      <c r="A14" s="48" t="inlineStr">
        <is>
          <t>Средний тариф за ночь, ₸</t>
        </is>
      </c>
      <c r="B14" s="49" t="n">
        <v>55000</v>
      </c>
      <c r="C14" s="37" t="n"/>
      <c r="D14" s="37" t="n"/>
      <c r="E14" s="37" t="n"/>
    </row>
    <row r="15">
      <c r="A15" s="48" t="inlineStr">
        <is>
          <t>Индексация тарифа, % в год</t>
        </is>
      </c>
      <c r="B15" s="52" t="n">
        <v>0.07000000000000001</v>
      </c>
      <c r="C15" s="37" t="n"/>
      <c r="D15" s="37" t="n"/>
      <c r="E15" s="37" t="n"/>
    </row>
    <row r="16">
      <c r="A16" s="48" t="inlineStr">
        <is>
          <t>Загрузка в первый год эксплуатации, %</t>
        </is>
      </c>
      <c r="B16" s="52" t="n">
        <v>0.38</v>
      </c>
      <c r="C16" s="45" t="inlineStr">
        <is>
          <t>год 2</t>
        </is>
      </c>
      <c r="D16" s="37" t="n"/>
      <c r="E16" s="37" t="n"/>
    </row>
    <row r="17">
      <c r="A17" s="48" t="inlineStr">
        <is>
          <t>Загрузка на выходе, %</t>
        </is>
      </c>
      <c r="B17" s="52" t="n">
        <v>0.55</v>
      </c>
      <c r="C17" s="45" t="inlineStr">
        <is>
          <t>достигается за 3 года</t>
        </is>
      </c>
      <c r="D17" s="37" t="n"/>
      <c r="E17" s="37" t="n"/>
    </row>
    <row r="18">
      <c r="A18" s="48" t="inlineStr">
        <is>
          <t>Лет до выхода на целевую загрузку</t>
        </is>
      </c>
      <c r="B18" s="49" t="n">
        <v>3</v>
      </c>
      <c r="C18" s="37" t="n"/>
      <c r="D18" s="37" t="n"/>
      <c r="E18" s="37" t="n"/>
    </row>
    <row r="19">
      <c r="A19" s="48" t="inlineStr">
        <is>
          <t>Дополнительные доходы, % к размещению</t>
        </is>
      </c>
      <c r="B19" s="52" t="n">
        <v>0.3</v>
      </c>
      <c r="C19" s="45" t="inlineStr">
        <is>
          <t>питание, баня, мероприятия</t>
        </is>
      </c>
      <c r="D19" s="37" t="n"/>
      <c r="E19" s="37" t="n"/>
    </row>
    <row r="20">
      <c r="A20" s="37" t="n"/>
      <c r="B20" s="37" t="n"/>
      <c r="C20" s="37" t="n"/>
      <c r="D20" s="37" t="n"/>
      <c r="E20" s="37" t="n"/>
    </row>
    <row r="21">
      <c r="A21" s="46" t="inlineStr">
        <is>
          <t>ОПЕРАЦИОННЫЕ РАСХОДЫ</t>
        </is>
      </c>
      <c r="B21" s="47" t="n"/>
      <c r="C21" s="47" t="n"/>
      <c r="D21" s="47" t="n"/>
      <c r="E21" s="47" t="n"/>
    </row>
    <row r="22">
      <c r="A22" s="48" t="inlineStr">
        <is>
          <t>Переменные расходы, % от выручки</t>
        </is>
      </c>
      <c r="B22" s="52" t="n">
        <v>0.22</v>
      </c>
      <c r="C22" s="45" t="inlineStr">
        <is>
          <t>уборка, бельё, продукты, расходники</t>
        </is>
      </c>
      <c r="D22" s="37" t="n"/>
      <c r="E22" s="37" t="n"/>
    </row>
    <row r="23">
      <c r="A23" s="48" t="inlineStr">
        <is>
          <t>Фонд оплаты труда на руки, ₸ в год</t>
        </is>
      </c>
      <c r="B23" s="49" t="n">
        <v>28000000</v>
      </c>
      <c r="C23" s="37" t="n"/>
      <c r="D23" s="37" t="n"/>
      <c r="E23" s="37" t="n"/>
    </row>
    <row r="24">
      <c r="A24" s="48" t="inlineStr">
        <is>
          <t>Налоги и отчисления с ФОТ, %</t>
        </is>
      </c>
      <c r="B24" s="52" t="n">
        <v>0.27</v>
      </c>
      <c r="C24" s="37" t="n"/>
      <c r="D24" s="37" t="n"/>
      <c r="E24" s="37" t="n"/>
    </row>
    <row r="25">
      <c r="A25" s="48" t="inlineStr">
        <is>
          <t>Коммунальные услуги, ₸ в год</t>
        </is>
      </c>
      <c r="B25" s="49" t="n">
        <v>11000000</v>
      </c>
      <c r="C25" s="37" t="n"/>
      <c r="D25" s="37" t="n"/>
      <c r="E25" s="37" t="n"/>
    </row>
    <row r="26">
      <c r="A26" s="48" t="inlineStr">
        <is>
          <t>Текущий ремонт и содержание, ₸ в год</t>
        </is>
      </c>
      <c r="B26" s="49" t="n">
        <v>7000000</v>
      </c>
      <c r="C26" s="37" t="n"/>
      <c r="D26" s="37" t="n"/>
      <c r="E26" s="37" t="n"/>
    </row>
    <row r="27">
      <c r="A27" s="48" t="inlineStr">
        <is>
          <t>Маркетинг и каналы продаж, % от выручки</t>
        </is>
      </c>
      <c r="B27" s="52" t="n">
        <v>0.08</v>
      </c>
      <c r="C27" s="45" t="inlineStr">
        <is>
          <t>агрегаторы, реклама</t>
        </is>
      </c>
      <c r="D27" s="37" t="n"/>
      <c r="E27" s="37" t="n"/>
    </row>
    <row r="28">
      <c r="A28" s="48" t="inlineStr">
        <is>
          <t>Управление и прочие, ₸ в год</t>
        </is>
      </c>
      <c r="B28" s="49" t="n">
        <v>8000000</v>
      </c>
      <c r="C28" s="37" t="n"/>
      <c r="D28" s="37" t="n"/>
      <c r="E28" s="37" t="n"/>
    </row>
    <row r="29">
      <c r="A29" s="48" t="inlineStr">
        <is>
          <t>Индексация расходов, % в год</t>
        </is>
      </c>
      <c r="B29" s="52" t="n">
        <v>0.06</v>
      </c>
      <c r="C29" s="37" t="n"/>
      <c r="D29" s="37" t="n"/>
      <c r="E29" s="37" t="n"/>
    </row>
    <row r="30">
      <c r="A30" s="37" t="n"/>
      <c r="B30" s="37" t="n"/>
      <c r="C30" s="37" t="n"/>
      <c r="D30" s="37" t="n"/>
      <c r="E30" s="37" t="n"/>
    </row>
    <row r="31">
      <c r="A31" s="46" t="inlineStr">
        <is>
          <t>ФИНАНСИРОВАНИЕ, НАЛОГИ, СТОИМОСТЬ КАПИТАЛА</t>
        </is>
      </c>
      <c r="B31" s="47" t="n"/>
      <c r="C31" s="47" t="n"/>
      <c r="D31" s="47" t="n"/>
      <c r="E31" s="47" t="n"/>
    </row>
    <row r="32">
      <c r="A32" s="48" t="inlineStr">
        <is>
          <t>Собственные средства, ₸</t>
        </is>
      </c>
      <c r="B32" s="49" t="n">
        <v>216000000</v>
      </c>
      <c r="C32" s="37" t="n"/>
      <c r="D32" s="37" t="n"/>
      <c r="E32" s="37" t="n"/>
    </row>
    <row r="33">
      <c r="A33" s="48" t="inlineStr">
        <is>
          <t>Кредит, ₸</t>
        </is>
      </c>
      <c r="B33" s="49" t="n">
        <v>100000000</v>
      </c>
      <c r="C33" s="45" t="inlineStr">
        <is>
          <t>транши по мере освоения</t>
        </is>
      </c>
      <c r="D33" s="37" t="n"/>
      <c r="E33" s="37" t="n"/>
    </row>
    <row r="34">
      <c r="A34" s="48" t="inlineStr">
        <is>
          <t>Ставка по кредиту, % годовых</t>
        </is>
      </c>
      <c r="B34" s="52" t="n">
        <v>0.18</v>
      </c>
      <c r="C34" s="37" t="n"/>
      <c r="D34" s="37" t="n"/>
      <c r="E34" s="37" t="n"/>
    </row>
    <row r="35">
      <c r="A35" s="48" t="inlineStr">
        <is>
          <t>Срок кредита, лет</t>
        </is>
      </c>
      <c r="B35" s="49" t="n">
        <v>10</v>
      </c>
      <c r="C35" s="37" t="n"/>
      <c r="D35" s="37" t="n"/>
      <c r="E35" s="37" t="n"/>
    </row>
    <row r="36">
      <c r="A36" s="48" t="inlineStr">
        <is>
          <t>Отсрочка погашения тела, лет</t>
        </is>
      </c>
      <c r="B36" s="49" t="n">
        <v>3</v>
      </c>
      <c r="C36" s="45" t="inlineStr">
        <is>
          <t>на время строительства</t>
        </is>
      </c>
      <c r="D36" s="37" t="n"/>
      <c r="E36" s="37" t="n"/>
    </row>
    <row r="37">
      <c r="A37" s="48" t="inlineStr">
        <is>
          <t>Требуемая доходность собственника, %</t>
        </is>
      </c>
      <c r="B37" s="52" t="n">
        <v>0.18</v>
      </c>
      <c r="C37" s="45" t="inlineStr">
        <is>
          <t>альтернатива вложению в проект</t>
        </is>
      </c>
      <c r="D37" s="37" t="n"/>
      <c r="E37" s="37" t="n"/>
    </row>
    <row r="38">
      <c r="A38" s="48" t="inlineStr">
        <is>
          <t>Срок амортизации, лет</t>
        </is>
      </c>
      <c r="B38" s="49" t="n">
        <v>15</v>
      </c>
      <c r="C38" s="37" t="n"/>
      <c r="D38" s="37" t="n"/>
      <c r="E38" s="37" t="n"/>
    </row>
    <row r="39">
      <c r="A39" s="48" t="inlineStr">
        <is>
          <t>Ставка КПН</t>
        </is>
      </c>
      <c r="B39" s="52" t="n">
        <v>0.2</v>
      </c>
      <c r="C39" s="37" t="n"/>
      <c r="D39" s="37" t="n"/>
      <c r="E39" s="37" t="n"/>
    </row>
    <row r="40">
      <c r="A40" s="48" t="inlineStr">
        <is>
          <t>Терминальный множитель к EBITDA года 10</t>
        </is>
      </c>
      <c r="B40" s="53" t="n">
        <v>5</v>
      </c>
      <c r="C40" s="45" t="inlineStr">
        <is>
          <t>оценка объекта при выходе</t>
        </is>
      </c>
      <c r="D40" s="37" t="n"/>
      <c r="E40" s="37" t="n"/>
    </row>
    <row r="41">
      <c r="A41" s="48" t="inlineStr">
        <is>
          <t>Ковенант банка: минимальный DSCR</t>
        </is>
      </c>
      <c r="B41" s="53" t="n">
        <v>1.25</v>
      </c>
      <c r="C41" s="45" t="inlineStr">
        <is>
          <t>обслуживание долга</t>
        </is>
      </c>
      <c r="D41" s="37" t="n"/>
      <c r="E41" s="37" t="n"/>
    </row>
    <row r="42">
      <c r="A42" s="50" t="inlineStr">
        <is>
          <t>Доля долга в финансировании</t>
        </is>
      </c>
      <c r="B42" s="54">
        <f>B33/(B33+B32)</f>
        <v/>
      </c>
      <c r="C42" s="37" t="n"/>
      <c r="D42" s="37" t="n"/>
      <c r="E42" s="37" t="n"/>
    </row>
    <row r="43">
      <c r="A43" s="50" t="inlineStr">
        <is>
          <t>Средневзвешенная стоимость капитала (WACC)</t>
        </is>
      </c>
      <c r="B43" s="54">
        <f>B33/(B33+B32)*B34*(1-B39)+B32/(B33+B32)*B37</f>
        <v/>
      </c>
      <c r="C43" s="45" t="inlineStr">
        <is>
          <t>ставка дисконтирования проекта — считается, не задаётся вручную</t>
        </is>
      </c>
      <c r="D43" s="37" t="n"/>
      <c r="E43" s="37" t="n"/>
    </row>
    <row r="44">
      <c r="A44" s="37" t="n"/>
      <c r="B44" s="37" t="n"/>
      <c r="C44" s="37" t="n"/>
      <c r="D44" s="37" t="n"/>
      <c r="E44" s="37" t="n"/>
    </row>
    <row r="45">
      <c r="A45" s="45" t="inlineStr">
        <is>
          <t>Пример из витрины. Все цифры условные и не относятся к какому-либо действующему проекту.</t>
        </is>
      </c>
      <c r="B45" s="37" t="n"/>
      <c r="C45" s="37" t="n"/>
      <c r="D45" s="37" t="n"/>
      <c r="E45" s="37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939F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</cols>
  <sheetData>
    <row r="1" ht="34" customHeight="1">
      <c r="A1" s="36" t="inlineStr">
        <is>
          <t>ИНВЕСТИЦИОННАЯ ФАЗА — 24 МЕСЯЦА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 ht="18" customHeight="1">
      <c r="A2" s="38" t="inlineStr">
        <is>
          <t>Освоение по статьям и месяцам · транши кредита по факту освоения · процент готовности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55" t="inlineStr">
        <is>
          <t>СТАТЬЯ</t>
        </is>
      </c>
      <c r="B4" s="56" t="inlineStr">
        <is>
          <t>М1</t>
        </is>
      </c>
      <c r="C4" s="56" t="inlineStr">
        <is>
          <t>М2</t>
        </is>
      </c>
      <c r="D4" s="56" t="inlineStr">
        <is>
          <t>М3</t>
        </is>
      </c>
      <c r="E4" s="56" t="inlineStr">
        <is>
          <t>М4</t>
        </is>
      </c>
      <c r="F4" s="56" t="inlineStr">
        <is>
          <t>М5</t>
        </is>
      </c>
      <c r="G4" s="56" t="inlineStr">
        <is>
          <t>М6</t>
        </is>
      </c>
      <c r="H4" s="56" t="inlineStr">
        <is>
          <t>М7</t>
        </is>
      </c>
      <c r="I4" s="56" t="inlineStr">
        <is>
          <t>М8</t>
        </is>
      </c>
      <c r="J4" s="56" t="inlineStr">
        <is>
          <t>М9</t>
        </is>
      </c>
      <c r="K4" s="56" t="inlineStr">
        <is>
          <t>М10</t>
        </is>
      </c>
      <c r="L4" s="56" t="inlineStr">
        <is>
          <t>М11</t>
        </is>
      </c>
      <c r="M4" s="56" t="inlineStr">
        <is>
          <t>М12</t>
        </is>
      </c>
      <c r="N4" s="56" t="inlineStr">
        <is>
          <t>М13</t>
        </is>
      </c>
      <c r="O4" s="56" t="inlineStr">
        <is>
          <t>М14</t>
        </is>
      </c>
      <c r="P4" s="56" t="inlineStr">
        <is>
          <t>М15</t>
        </is>
      </c>
      <c r="Q4" s="56" t="inlineStr">
        <is>
          <t>М16</t>
        </is>
      </c>
      <c r="R4" s="56" t="inlineStr">
        <is>
          <t>М17</t>
        </is>
      </c>
      <c r="S4" s="56" t="inlineStr">
        <is>
          <t>М18</t>
        </is>
      </c>
      <c r="T4" s="56" t="inlineStr">
        <is>
          <t>М19</t>
        </is>
      </c>
      <c r="U4" s="56" t="inlineStr">
        <is>
          <t>М20</t>
        </is>
      </c>
      <c r="V4" s="56" t="inlineStr">
        <is>
          <t>М21</t>
        </is>
      </c>
      <c r="W4" s="56" t="inlineStr">
        <is>
          <t>М22</t>
        </is>
      </c>
      <c r="X4" s="56" t="inlineStr">
        <is>
          <t>М23</t>
        </is>
      </c>
      <c r="Y4" s="56" t="inlineStr">
        <is>
          <t>М24</t>
        </is>
      </c>
      <c r="Z4" s="57" t="inlineStr">
        <is>
          <t>ИТОГО</t>
        </is>
      </c>
    </row>
    <row r="5">
      <c r="A5" s="37" t="n"/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46" t="inlineStr">
        <is>
          <t>КРИВАЯ ОСВОЕНИЯ СМР</t>
        </is>
      </c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</row>
    <row r="7">
      <c r="A7" s="48" t="inlineStr">
        <is>
          <t xml:space="preserve">   Вес месяца в освоении СМР, %</t>
        </is>
      </c>
      <c r="B7" s="58">
        <f>0/94</f>
        <v/>
      </c>
      <c r="C7" s="58">
        <f>0/94</f>
        <v/>
      </c>
      <c r="D7" s="58">
        <f>0/94</f>
        <v/>
      </c>
      <c r="E7" s="58">
        <f>0/94</f>
        <v/>
      </c>
      <c r="F7" s="58">
        <f>2/94</f>
        <v/>
      </c>
      <c r="G7" s="58">
        <f>3/94</f>
        <v/>
      </c>
      <c r="H7" s="58">
        <f>5/94</f>
        <v/>
      </c>
      <c r="I7" s="58">
        <f>7/94</f>
        <v/>
      </c>
      <c r="J7" s="58">
        <f>9/94</f>
        <v/>
      </c>
      <c r="K7" s="58">
        <f>10/94</f>
        <v/>
      </c>
      <c r="L7" s="58">
        <f>11/94</f>
        <v/>
      </c>
      <c r="M7" s="58">
        <f>11/94</f>
        <v/>
      </c>
      <c r="N7" s="58">
        <f>10/94</f>
        <v/>
      </c>
      <c r="O7" s="58">
        <f>9/94</f>
        <v/>
      </c>
      <c r="P7" s="58">
        <f>7/94</f>
        <v/>
      </c>
      <c r="Q7" s="58">
        <f>5/94</f>
        <v/>
      </c>
      <c r="R7" s="58">
        <f>3/94</f>
        <v/>
      </c>
      <c r="S7" s="58">
        <f>2/94</f>
        <v/>
      </c>
      <c r="T7" s="58">
        <f>0/94</f>
        <v/>
      </c>
      <c r="U7" s="58">
        <f>0/94</f>
        <v/>
      </c>
      <c r="V7" s="58">
        <f>0/94</f>
        <v/>
      </c>
      <c r="W7" s="58">
        <f>0/94</f>
        <v/>
      </c>
      <c r="X7" s="58">
        <f>0/94</f>
        <v/>
      </c>
      <c r="Y7" s="58">
        <f>0/94</f>
        <v/>
      </c>
      <c r="Z7" s="59">
        <f>SUM(B7:Y7)</f>
        <v/>
      </c>
    </row>
    <row r="8">
      <c r="A8" s="46" t="inlineStr">
        <is>
          <t>ОСВОЕНИЕ ПО СТАТЬЯМ</t>
        </is>
      </c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</row>
    <row r="9">
      <c r="A9" s="48" t="inlineStr">
        <is>
          <t xml:space="preserve">   Земельный участок</t>
        </is>
      </c>
      <c r="B9" s="60">
        <f>Вводные!$B$5</f>
        <v/>
      </c>
      <c r="C9" s="60">
        <f>0</f>
        <v/>
      </c>
      <c r="D9" s="60">
        <f>0</f>
        <v/>
      </c>
      <c r="E9" s="60">
        <f>0</f>
        <v/>
      </c>
      <c r="F9" s="60">
        <f>0</f>
        <v/>
      </c>
      <c r="G9" s="60">
        <f>0</f>
        <v/>
      </c>
      <c r="H9" s="60">
        <f>0</f>
        <v/>
      </c>
      <c r="I9" s="60">
        <f>0</f>
        <v/>
      </c>
      <c r="J9" s="60">
        <f>0</f>
        <v/>
      </c>
      <c r="K9" s="60">
        <f>0</f>
        <v/>
      </c>
      <c r="L9" s="60">
        <f>0</f>
        <v/>
      </c>
      <c r="M9" s="60">
        <f>0</f>
        <v/>
      </c>
      <c r="N9" s="60">
        <f>0</f>
        <v/>
      </c>
      <c r="O9" s="60">
        <f>0</f>
        <v/>
      </c>
      <c r="P9" s="60">
        <f>0</f>
        <v/>
      </c>
      <c r="Q9" s="60">
        <f>0</f>
        <v/>
      </c>
      <c r="R9" s="60">
        <f>0</f>
        <v/>
      </c>
      <c r="S9" s="60">
        <f>0</f>
        <v/>
      </c>
      <c r="T9" s="60">
        <f>0</f>
        <v/>
      </c>
      <c r="U9" s="60">
        <f>0</f>
        <v/>
      </c>
      <c r="V9" s="60">
        <f>0</f>
        <v/>
      </c>
      <c r="W9" s="60">
        <f>0</f>
        <v/>
      </c>
      <c r="X9" s="60">
        <f>0</f>
        <v/>
      </c>
      <c r="Y9" s="60">
        <f>0</f>
        <v/>
      </c>
      <c r="Z9" s="61">
        <f>SUM(B9:Y9)</f>
        <v/>
      </c>
    </row>
    <row r="10">
      <c r="A10" s="48" t="inlineStr">
        <is>
          <t xml:space="preserve">   Проектирование и согласования</t>
        </is>
      </c>
      <c r="B10" s="60">
        <f>Вводные!$B$6/4</f>
        <v/>
      </c>
      <c r="C10" s="60">
        <f>Вводные!$B$6/4</f>
        <v/>
      </c>
      <c r="D10" s="60">
        <f>Вводные!$B$6/4</f>
        <v/>
      </c>
      <c r="E10" s="60">
        <f>Вводные!$B$6/4</f>
        <v/>
      </c>
      <c r="F10" s="60">
        <f>0</f>
        <v/>
      </c>
      <c r="G10" s="60">
        <f>0</f>
        <v/>
      </c>
      <c r="H10" s="60">
        <f>0</f>
        <v/>
      </c>
      <c r="I10" s="60">
        <f>0</f>
        <v/>
      </c>
      <c r="J10" s="60">
        <f>0</f>
        <v/>
      </c>
      <c r="K10" s="60">
        <f>0</f>
        <v/>
      </c>
      <c r="L10" s="60">
        <f>0</f>
        <v/>
      </c>
      <c r="M10" s="60">
        <f>0</f>
        <v/>
      </c>
      <c r="N10" s="60">
        <f>0</f>
        <v/>
      </c>
      <c r="O10" s="60">
        <f>0</f>
        <v/>
      </c>
      <c r="P10" s="60">
        <f>0</f>
        <v/>
      </c>
      <c r="Q10" s="60">
        <f>0</f>
        <v/>
      </c>
      <c r="R10" s="60">
        <f>0</f>
        <v/>
      </c>
      <c r="S10" s="60">
        <f>0</f>
        <v/>
      </c>
      <c r="T10" s="60">
        <f>0</f>
        <v/>
      </c>
      <c r="U10" s="60">
        <f>0</f>
        <v/>
      </c>
      <c r="V10" s="60">
        <f>0</f>
        <v/>
      </c>
      <c r="W10" s="60">
        <f>0</f>
        <v/>
      </c>
      <c r="X10" s="60">
        <f>0</f>
        <v/>
      </c>
      <c r="Y10" s="60">
        <f>0</f>
        <v/>
      </c>
      <c r="Z10" s="61">
        <f>SUM(B10:Y10)</f>
        <v/>
      </c>
    </row>
    <row r="11">
      <c r="A11" s="48" t="inlineStr">
        <is>
          <t xml:space="preserve">   Строительство домов</t>
        </is>
      </c>
      <c r="B11" s="60">
        <f>Вводные!$B$7*Вводные!$B$8*B7</f>
        <v/>
      </c>
      <c r="C11" s="60">
        <f>Вводные!$B$7*Вводные!$B$8*C7</f>
        <v/>
      </c>
      <c r="D11" s="60">
        <f>Вводные!$B$7*Вводные!$B$8*D7</f>
        <v/>
      </c>
      <c r="E11" s="60">
        <f>Вводные!$B$7*Вводные!$B$8*E7</f>
        <v/>
      </c>
      <c r="F11" s="60">
        <f>Вводные!$B$7*Вводные!$B$8*F7</f>
        <v/>
      </c>
      <c r="G11" s="60">
        <f>Вводные!$B$7*Вводные!$B$8*G7</f>
        <v/>
      </c>
      <c r="H11" s="60">
        <f>Вводные!$B$7*Вводные!$B$8*H7</f>
        <v/>
      </c>
      <c r="I11" s="60">
        <f>Вводные!$B$7*Вводные!$B$8*I7</f>
        <v/>
      </c>
      <c r="J11" s="60">
        <f>Вводные!$B$7*Вводные!$B$8*J7</f>
        <v/>
      </c>
      <c r="K11" s="60">
        <f>Вводные!$B$7*Вводные!$B$8*K7</f>
        <v/>
      </c>
      <c r="L11" s="60">
        <f>Вводные!$B$7*Вводные!$B$8*L7</f>
        <v/>
      </c>
      <c r="M11" s="60">
        <f>Вводные!$B$7*Вводные!$B$8*M7</f>
        <v/>
      </c>
      <c r="N11" s="60">
        <f>Вводные!$B$7*Вводные!$B$8*N7</f>
        <v/>
      </c>
      <c r="O11" s="60">
        <f>Вводные!$B$7*Вводные!$B$8*O7</f>
        <v/>
      </c>
      <c r="P11" s="60">
        <f>Вводные!$B$7*Вводные!$B$8*P7</f>
        <v/>
      </c>
      <c r="Q11" s="60">
        <f>Вводные!$B$7*Вводные!$B$8*Q7</f>
        <v/>
      </c>
      <c r="R11" s="60">
        <f>Вводные!$B$7*Вводные!$B$8*R7</f>
        <v/>
      </c>
      <c r="S11" s="60">
        <f>Вводные!$B$7*Вводные!$B$8*S7</f>
        <v/>
      </c>
      <c r="T11" s="60">
        <f>Вводные!$B$7*Вводные!$B$8*T7</f>
        <v/>
      </c>
      <c r="U11" s="60">
        <f>Вводные!$B$7*Вводные!$B$8*U7</f>
        <v/>
      </c>
      <c r="V11" s="60">
        <f>Вводные!$B$7*Вводные!$B$8*V7</f>
        <v/>
      </c>
      <c r="W11" s="60">
        <f>Вводные!$B$7*Вводные!$B$8*W7</f>
        <v/>
      </c>
      <c r="X11" s="60">
        <f>Вводные!$B$7*Вводные!$B$8*X7</f>
        <v/>
      </c>
      <c r="Y11" s="60">
        <f>Вводные!$B$7*Вводные!$B$8*Y7</f>
        <v/>
      </c>
      <c r="Z11" s="61">
        <f>SUM(B11:Y11)</f>
        <v/>
      </c>
    </row>
    <row r="12">
      <c r="A12" s="48" t="inlineStr">
        <is>
          <t xml:space="preserve">   Инженерные сети и благоустройство</t>
        </is>
      </c>
      <c r="B12" s="60">
        <f>0</f>
        <v/>
      </c>
      <c r="C12" s="60">
        <f>0</f>
        <v/>
      </c>
      <c r="D12" s="60">
        <f>0</f>
        <v/>
      </c>
      <c r="E12" s="60">
        <f>0</f>
        <v/>
      </c>
      <c r="F12" s="60">
        <f>Вводные!$B$9/16</f>
        <v/>
      </c>
      <c r="G12" s="60">
        <f>Вводные!$B$9/16</f>
        <v/>
      </c>
      <c r="H12" s="60">
        <f>Вводные!$B$9/16</f>
        <v/>
      </c>
      <c r="I12" s="60">
        <f>Вводные!$B$9/16</f>
        <v/>
      </c>
      <c r="J12" s="60">
        <f>Вводные!$B$9/16</f>
        <v/>
      </c>
      <c r="K12" s="60">
        <f>Вводные!$B$9/16</f>
        <v/>
      </c>
      <c r="L12" s="60">
        <f>Вводные!$B$9/16</f>
        <v/>
      </c>
      <c r="M12" s="60">
        <f>Вводные!$B$9/16</f>
        <v/>
      </c>
      <c r="N12" s="60">
        <f>Вводные!$B$9/16</f>
        <v/>
      </c>
      <c r="O12" s="60">
        <f>Вводные!$B$9/16</f>
        <v/>
      </c>
      <c r="P12" s="60">
        <f>Вводные!$B$9/16</f>
        <v/>
      </c>
      <c r="Q12" s="60">
        <f>Вводные!$B$9/16</f>
        <v/>
      </c>
      <c r="R12" s="60">
        <f>Вводные!$B$9/16</f>
        <v/>
      </c>
      <c r="S12" s="60">
        <f>Вводные!$B$9/16</f>
        <v/>
      </c>
      <c r="T12" s="60">
        <f>Вводные!$B$9/16</f>
        <v/>
      </c>
      <c r="U12" s="60">
        <f>Вводные!$B$9/16</f>
        <v/>
      </c>
      <c r="V12" s="60">
        <f>0</f>
        <v/>
      </c>
      <c r="W12" s="60">
        <f>0</f>
        <v/>
      </c>
      <c r="X12" s="60">
        <f>0</f>
        <v/>
      </c>
      <c r="Y12" s="60">
        <f>0</f>
        <v/>
      </c>
      <c r="Z12" s="61">
        <f>SUM(B12:Y12)</f>
        <v/>
      </c>
    </row>
    <row r="13">
      <c r="A13" s="48" t="inlineStr">
        <is>
          <t xml:space="preserve">   Мебель, оборудование, текстиль</t>
        </is>
      </c>
      <c r="B13" s="60">
        <f>0</f>
        <v/>
      </c>
      <c r="C13" s="60">
        <f>0</f>
        <v/>
      </c>
      <c r="D13" s="60">
        <f>0</f>
        <v/>
      </c>
      <c r="E13" s="60">
        <f>0</f>
        <v/>
      </c>
      <c r="F13" s="60">
        <f>0</f>
        <v/>
      </c>
      <c r="G13" s="60">
        <f>0</f>
        <v/>
      </c>
      <c r="H13" s="60">
        <f>0</f>
        <v/>
      </c>
      <c r="I13" s="60">
        <f>0</f>
        <v/>
      </c>
      <c r="J13" s="60">
        <f>0</f>
        <v/>
      </c>
      <c r="K13" s="60">
        <f>0</f>
        <v/>
      </c>
      <c r="L13" s="60">
        <f>0</f>
        <v/>
      </c>
      <c r="M13" s="60">
        <f>0</f>
        <v/>
      </c>
      <c r="N13" s="60">
        <f>0</f>
        <v/>
      </c>
      <c r="O13" s="60">
        <f>0</f>
        <v/>
      </c>
      <c r="P13" s="60">
        <f>0</f>
        <v/>
      </c>
      <c r="Q13" s="60">
        <f>0</f>
        <v/>
      </c>
      <c r="R13" s="60">
        <f>0</f>
        <v/>
      </c>
      <c r="S13" s="60">
        <f>0</f>
        <v/>
      </c>
      <c r="T13" s="60">
        <f>Вводные!$B$10/6</f>
        <v/>
      </c>
      <c r="U13" s="60">
        <f>Вводные!$B$10/6</f>
        <v/>
      </c>
      <c r="V13" s="60">
        <f>Вводные!$B$10/6</f>
        <v/>
      </c>
      <c r="W13" s="60">
        <f>Вводные!$B$10/6</f>
        <v/>
      </c>
      <c r="X13" s="60">
        <f>Вводные!$B$10/6</f>
        <v/>
      </c>
      <c r="Y13" s="60">
        <f>Вводные!$B$10/6</f>
        <v/>
      </c>
      <c r="Z13" s="61">
        <f>SUM(B13:Y13)</f>
        <v/>
      </c>
    </row>
    <row r="14">
      <c r="A14" s="50" t="inlineStr">
        <is>
          <t>ИТОГО ОСВОЕНИЕ ЗА МЕСЯЦ</t>
        </is>
      </c>
      <c r="B14" s="61">
        <f>SUM(B9:B13)</f>
        <v/>
      </c>
      <c r="C14" s="61">
        <f>SUM(C9:C13)</f>
        <v/>
      </c>
      <c r="D14" s="61">
        <f>SUM(D9:D13)</f>
        <v/>
      </c>
      <c r="E14" s="61">
        <f>SUM(E9:E13)</f>
        <v/>
      </c>
      <c r="F14" s="61">
        <f>SUM(F9:F13)</f>
        <v/>
      </c>
      <c r="G14" s="61">
        <f>SUM(G9:G13)</f>
        <v/>
      </c>
      <c r="H14" s="61">
        <f>SUM(H9:H13)</f>
        <v/>
      </c>
      <c r="I14" s="61">
        <f>SUM(I9:I13)</f>
        <v/>
      </c>
      <c r="J14" s="61">
        <f>SUM(J9:J13)</f>
        <v/>
      </c>
      <c r="K14" s="61">
        <f>SUM(K9:K13)</f>
        <v/>
      </c>
      <c r="L14" s="61">
        <f>SUM(L9:L13)</f>
        <v/>
      </c>
      <c r="M14" s="61">
        <f>SUM(M9:M13)</f>
        <v/>
      </c>
      <c r="N14" s="61">
        <f>SUM(N9:N13)</f>
        <v/>
      </c>
      <c r="O14" s="61">
        <f>SUM(O9:O13)</f>
        <v/>
      </c>
      <c r="P14" s="61">
        <f>SUM(P9:P13)</f>
        <v/>
      </c>
      <c r="Q14" s="61">
        <f>SUM(Q9:Q13)</f>
        <v/>
      </c>
      <c r="R14" s="61">
        <f>SUM(R9:R13)</f>
        <v/>
      </c>
      <c r="S14" s="61">
        <f>SUM(S9:S13)</f>
        <v/>
      </c>
      <c r="T14" s="61">
        <f>SUM(T9:T13)</f>
        <v/>
      </c>
      <c r="U14" s="61">
        <f>SUM(U9:U13)</f>
        <v/>
      </c>
      <c r="V14" s="61">
        <f>SUM(V9:V13)</f>
        <v/>
      </c>
      <c r="W14" s="61">
        <f>SUM(W9:W13)</f>
        <v/>
      </c>
      <c r="X14" s="61">
        <f>SUM(X9:X13)</f>
        <v/>
      </c>
      <c r="Y14" s="61">
        <f>SUM(Y9:Y13)</f>
        <v/>
      </c>
      <c r="Z14" s="61">
        <f>SUM(B14:Y14)</f>
        <v/>
      </c>
    </row>
    <row r="15">
      <c r="A15" s="48" t="inlineStr">
        <is>
          <t>Накопленное освоение</t>
        </is>
      </c>
      <c r="B15" s="60">
        <f>B14</f>
        <v/>
      </c>
      <c r="C15" s="60">
        <f>B15+C14</f>
        <v/>
      </c>
      <c r="D15" s="60">
        <f>C15+D14</f>
        <v/>
      </c>
      <c r="E15" s="60">
        <f>D15+E14</f>
        <v/>
      </c>
      <c r="F15" s="60">
        <f>E15+F14</f>
        <v/>
      </c>
      <c r="G15" s="60">
        <f>F15+G14</f>
        <v/>
      </c>
      <c r="H15" s="60">
        <f>G15+H14</f>
        <v/>
      </c>
      <c r="I15" s="60">
        <f>H15+I14</f>
        <v/>
      </c>
      <c r="J15" s="60">
        <f>I15+J14</f>
        <v/>
      </c>
      <c r="K15" s="60">
        <f>J15+K14</f>
        <v/>
      </c>
      <c r="L15" s="60">
        <f>K15+L14</f>
        <v/>
      </c>
      <c r="M15" s="60">
        <f>L15+M14</f>
        <v/>
      </c>
      <c r="N15" s="60">
        <f>M15+N14</f>
        <v/>
      </c>
      <c r="O15" s="60">
        <f>N15+O14</f>
        <v/>
      </c>
      <c r="P15" s="60">
        <f>O15+P14</f>
        <v/>
      </c>
      <c r="Q15" s="60">
        <f>P15+Q14</f>
        <v/>
      </c>
      <c r="R15" s="60">
        <f>Q15+R14</f>
        <v/>
      </c>
      <c r="S15" s="60">
        <f>R15+S14</f>
        <v/>
      </c>
      <c r="T15" s="60">
        <f>S15+T14</f>
        <v/>
      </c>
      <c r="U15" s="60">
        <f>T15+U14</f>
        <v/>
      </c>
      <c r="V15" s="60">
        <f>U15+V14</f>
        <v/>
      </c>
      <c r="W15" s="60">
        <f>V15+W14</f>
        <v/>
      </c>
      <c r="X15" s="60">
        <f>W15+X14</f>
        <v/>
      </c>
      <c r="Y15" s="60">
        <f>X15+Y14</f>
        <v/>
      </c>
      <c r="Z15" s="37" t="n"/>
    </row>
    <row r="16">
      <c r="A16" s="48" t="inlineStr">
        <is>
          <t>Готовность объекта, %</t>
        </is>
      </c>
      <c r="B16" s="58">
        <f>B15/Вводные!$B$11</f>
        <v/>
      </c>
      <c r="C16" s="58">
        <f>C15/Вводные!$B$11</f>
        <v/>
      </c>
      <c r="D16" s="58">
        <f>D15/Вводные!$B$11</f>
        <v/>
      </c>
      <c r="E16" s="58">
        <f>E15/Вводные!$B$11</f>
        <v/>
      </c>
      <c r="F16" s="58">
        <f>F15/Вводные!$B$11</f>
        <v/>
      </c>
      <c r="G16" s="58">
        <f>G15/Вводные!$B$11</f>
        <v/>
      </c>
      <c r="H16" s="58">
        <f>H15/Вводные!$B$11</f>
        <v/>
      </c>
      <c r="I16" s="58">
        <f>I15/Вводные!$B$11</f>
        <v/>
      </c>
      <c r="J16" s="58">
        <f>J15/Вводные!$B$11</f>
        <v/>
      </c>
      <c r="K16" s="58">
        <f>K15/Вводные!$B$11</f>
        <v/>
      </c>
      <c r="L16" s="58">
        <f>L15/Вводные!$B$11</f>
        <v/>
      </c>
      <c r="M16" s="58">
        <f>M15/Вводные!$B$11</f>
        <v/>
      </c>
      <c r="N16" s="58">
        <f>N15/Вводные!$B$11</f>
        <v/>
      </c>
      <c r="O16" s="58">
        <f>O15/Вводные!$B$11</f>
        <v/>
      </c>
      <c r="P16" s="58">
        <f>P15/Вводные!$B$11</f>
        <v/>
      </c>
      <c r="Q16" s="58">
        <f>Q15/Вводные!$B$11</f>
        <v/>
      </c>
      <c r="R16" s="58">
        <f>R15/Вводные!$B$11</f>
        <v/>
      </c>
      <c r="S16" s="58">
        <f>S15/Вводные!$B$11</f>
        <v/>
      </c>
      <c r="T16" s="58">
        <f>T15/Вводные!$B$11</f>
        <v/>
      </c>
      <c r="U16" s="58">
        <f>U15/Вводные!$B$11</f>
        <v/>
      </c>
      <c r="V16" s="58">
        <f>V15/Вводные!$B$11</f>
        <v/>
      </c>
      <c r="W16" s="58">
        <f>W15/Вводные!$B$11</f>
        <v/>
      </c>
      <c r="X16" s="58">
        <f>X15/Вводные!$B$11</f>
        <v/>
      </c>
      <c r="Y16" s="58">
        <f>Y15/Вводные!$B$11</f>
        <v/>
      </c>
      <c r="Z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46" t="inlineStr">
        <is>
          <t>ФИНАНСИРОВАНИЕ ОСВОЕНИЯ</t>
        </is>
      </c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</row>
    <row r="19">
      <c r="A19" s="48" t="inlineStr">
        <is>
          <t xml:space="preserve">   Собственные средства</t>
        </is>
      </c>
      <c r="B19" s="60">
        <f>MIN(B14,Вводные!$B$32)</f>
        <v/>
      </c>
      <c r="C19" s="60">
        <f>MIN(C14,MAX(0,Вводные!$B$32-B21))</f>
        <v/>
      </c>
      <c r="D19" s="60">
        <f>MIN(D14,MAX(0,Вводные!$B$32-C21))</f>
        <v/>
      </c>
      <c r="E19" s="60">
        <f>MIN(E14,MAX(0,Вводные!$B$32-D21))</f>
        <v/>
      </c>
      <c r="F19" s="60">
        <f>MIN(F14,MAX(0,Вводные!$B$32-E21))</f>
        <v/>
      </c>
      <c r="G19" s="60">
        <f>MIN(G14,MAX(0,Вводные!$B$32-F21))</f>
        <v/>
      </c>
      <c r="H19" s="60">
        <f>MIN(H14,MAX(0,Вводные!$B$32-G21))</f>
        <v/>
      </c>
      <c r="I19" s="60">
        <f>MIN(I14,MAX(0,Вводные!$B$32-H21))</f>
        <v/>
      </c>
      <c r="J19" s="60">
        <f>MIN(J14,MAX(0,Вводные!$B$32-I21))</f>
        <v/>
      </c>
      <c r="K19" s="60">
        <f>MIN(K14,MAX(0,Вводные!$B$32-J21))</f>
        <v/>
      </c>
      <c r="L19" s="60">
        <f>MIN(L14,MAX(0,Вводные!$B$32-K21))</f>
        <v/>
      </c>
      <c r="M19" s="60">
        <f>MIN(M14,MAX(0,Вводные!$B$32-L21))</f>
        <v/>
      </c>
      <c r="N19" s="60">
        <f>MIN(N14,MAX(0,Вводные!$B$32-M21))</f>
        <v/>
      </c>
      <c r="O19" s="60">
        <f>MIN(O14,MAX(0,Вводные!$B$32-N21))</f>
        <v/>
      </c>
      <c r="P19" s="60">
        <f>MIN(P14,MAX(0,Вводные!$B$32-O21))</f>
        <v/>
      </c>
      <c r="Q19" s="60">
        <f>MIN(Q14,MAX(0,Вводные!$B$32-P21))</f>
        <v/>
      </c>
      <c r="R19" s="60">
        <f>MIN(R14,MAX(0,Вводные!$B$32-Q21))</f>
        <v/>
      </c>
      <c r="S19" s="60">
        <f>MIN(S14,MAX(0,Вводные!$B$32-R21))</f>
        <v/>
      </c>
      <c r="T19" s="60">
        <f>MIN(T14,MAX(0,Вводные!$B$32-S21))</f>
        <v/>
      </c>
      <c r="U19" s="60">
        <f>MIN(U14,MAX(0,Вводные!$B$32-T21))</f>
        <v/>
      </c>
      <c r="V19" s="60">
        <f>MIN(V14,MAX(0,Вводные!$B$32-U21))</f>
        <v/>
      </c>
      <c r="W19" s="60">
        <f>MIN(W14,MAX(0,Вводные!$B$32-V21))</f>
        <v/>
      </c>
      <c r="X19" s="60">
        <f>MIN(X14,MAX(0,Вводные!$B$32-W21))</f>
        <v/>
      </c>
      <c r="Y19" s="60">
        <f>MIN(Y14,MAX(0,Вводные!$B$32-X21))</f>
        <v/>
      </c>
      <c r="Z19" s="61">
        <f>SUM(B19:Y19)</f>
        <v/>
      </c>
    </row>
    <row r="20">
      <c r="A20" s="48" t="inlineStr">
        <is>
          <t xml:space="preserve">   Транш кредита</t>
        </is>
      </c>
      <c r="B20" s="60">
        <f>B14-B19</f>
        <v/>
      </c>
      <c r="C20" s="60">
        <f>C14-C19</f>
        <v/>
      </c>
      <c r="D20" s="60">
        <f>D14-D19</f>
        <v/>
      </c>
      <c r="E20" s="60">
        <f>E14-E19</f>
        <v/>
      </c>
      <c r="F20" s="60">
        <f>F14-F19</f>
        <v/>
      </c>
      <c r="G20" s="60">
        <f>G14-G19</f>
        <v/>
      </c>
      <c r="H20" s="60">
        <f>H14-H19</f>
        <v/>
      </c>
      <c r="I20" s="60">
        <f>I14-I19</f>
        <v/>
      </c>
      <c r="J20" s="60">
        <f>J14-J19</f>
        <v/>
      </c>
      <c r="K20" s="60">
        <f>K14-K19</f>
        <v/>
      </c>
      <c r="L20" s="60">
        <f>L14-L19</f>
        <v/>
      </c>
      <c r="M20" s="60">
        <f>M14-M19</f>
        <v/>
      </c>
      <c r="N20" s="60">
        <f>N14-N19</f>
        <v/>
      </c>
      <c r="O20" s="60">
        <f>O14-O19</f>
        <v/>
      </c>
      <c r="P20" s="60">
        <f>P14-P19</f>
        <v/>
      </c>
      <c r="Q20" s="60">
        <f>Q14-Q19</f>
        <v/>
      </c>
      <c r="R20" s="60">
        <f>R14-R19</f>
        <v/>
      </c>
      <c r="S20" s="60">
        <f>S14-S19</f>
        <v/>
      </c>
      <c r="T20" s="60">
        <f>T14-T19</f>
        <v/>
      </c>
      <c r="U20" s="60">
        <f>U14-U19</f>
        <v/>
      </c>
      <c r="V20" s="60">
        <f>V14-V19</f>
        <v/>
      </c>
      <c r="W20" s="60">
        <f>W14-W19</f>
        <v/>
      </c>
      <c r="X20" s="60">
        <f>X14-X19</f>
        <v/>
      </c>
      <c r="Y20" s="60">
        <f>Y14-Y19</f>
        <v/>
      </c>
      <c r="Z20" s="61">
        <f>SUM(B20:Y20)</f>
        <v/>
      </c>
    </row>
    <row r="21">
      <c r="A21" s="48" t="inlineStr">
        <is>
          <t>Собственные средства использованы, накопительно</t>
        </is>
      </c>
      <c r="B21" s="60">
        <f>B19</f>
        <v/>
      </c>
      <c r="C21" s="60">
        <f>B21+C19</f>
        <v/>
      </c>
      <c r="D21" s="60">
        <f>C21+D19</f>
        <v/>
      </c>
      <c r="E21" s="60">
        <f>D21+E19</f>
        <v/>
      </c>
      <c r="F21" s="60">
        <f>E21+F19</f>
        <v/>
      </c>
      <c r="G21" s="60">
        <f>F21+G19</f>
        <v/>
      </c>
      <c r="H21" s="60">
        <f>G21+H19</f>
        <v/>
      </c>
      <c r="I21" s="60">
        <f>H21+I19</f>
        <v/>
      </c>
      <c r="J21" s="60">
        <f>I21+J19</f>
        <v/>
      </c>
      <c r="K21" s="60">
        <f>J21+K19</f>
        <v/>
      </c>
      <c r="L21" s="60">
        <f>K21+L19</f>
        <v/>
      </c>
      <c r="M21" s="60">
        <f>L21+M19</f>
        <v/>
      </c>
      <c r="N21" s="60">
        <f>M21+N19</f>
        <v/>
      </c>
      <c r="O21" s="60">
        <f>N21+O19</f>
        <v/>
      </c>
      <c r="P21" s="60">
        <f>O21+P19</f>
        <v/>
      </c>
      <c r="Q21" s="60">
        <f>P21+Q19</f>
        <v/>
      </c>
      <c r="R21" s="60">
        <f>Q21+R19</f>
        <v/>
      </c>
      <c r="S21" s="60">
        <f>R21+S19</f>
        <v/>
      </c>
      <c r="T21" s="60">
        <f>S21+T19</f>
        <v/>
      </c>
      <c r="U21" s="60">
        <f>T21+U19</f>
        <v/>
      </c>
      <c r="V21" s="60">
        <f>U21+V19</f>
        <v/>
      </c>
      <c r="W21" s="60">
        <f>V21+W19</f>
        <v/>
      </c>
      <c r="X21" s="60">
        <f>W21+X19</f>
        <v/>
      </c>
      <c r="Y21" s="60">
        <f>X21+Y19</f>
        <v/>
      </c>
      <c r="Z21" s="37" t="n"/>
    </row>
    <row r="22">
      <c r="A22" s="48" t="inlineStr">
        <is>
          <t>Долг выбран, накопительно</t>
        </is>
      </c>
      <c r="B22" s="60">
        <f>B20</f>
        <v/>
      </c>
      <c r="C22" s="60">
        <f>B22+C20</f>
        <v/>
      </c>
      <c r="D22" s="60">
        <f>C22+D20</f>
        <v/>
      </c>
      <c r="E22" s="60">
        <f>D22+E20</f>
        <v/>
      </c>
      <c r="F22" s="60">
        <f>E22+F20</f>
        <v/>
      </c>
      <c r="G22" s="60">
        <f>F22+G20</f>
        <v/>
      </c>
      <c r="H22" s="60">
        <f>G22+H20</f>
        <v/>
      </c>
      <c r="I22" s="60">
        <f>H22+I20</f>
        <v/>
      </c>
      <c r="J22" s="60">
        <f>I22+J20</f>
        <v/>
      </c>
      <c r="K22" s="60">
        <f>J22+K20</f>
        <v/>
      </c>
      <c r="L22" s="60">
        <f>K22+L20</f>
        <v/>
      </c>
      <c r="M22" s="60">
        <f>L22+M20</f>
        <v/>
      </c>
      <c r="N22" s="60">
        <f>M22+N20</f>
        <v/>
      </c>
      <c r="O22" s="60">
        <f>N22+O20</f>
        <v/>
      </c>
      <c r="P22" s="60">
        <f>O22+P20</f>
        <v/>
      </c>
      <c r="Q22" s="60">
        <f>P22+Q20</f>
        <v/>
      </c>
      <c r="R22" s="60">
        <f>Q22+R20</f>
        <v/>
      </c>
      <c r="S22" s="60">
        <f>R22+S20</f>
        <v/>
      </c>
      <c r="T22" s="60">
        <f>S22+T20</f>
        <v/>
      </c>
      <c r="U22" s="60">
        <f>T22+U20</f>
        <v/>
      </c>
      <c r="V22" s="60">
        <f>U22+V20</f>
        <v/>
      </c>
      <c r="W22" s="60">
        <f>V22+W20</f>
        <v/>
      </c>
      <c r="X22" s="60">
        <f>W22+X20</f>
        <v/>
      </c>
      <c r="Y22" s="60">
        <f>X22+Y20</f>
        <v/>
      </c>
      <c r="Z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>
      <c r="A24" s="45" t="inlineStr">
        <is>
          <t>Пример из витрины. Все цифры условные.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939F"/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7" customWidth="1" min="13" max="13"/>
  </cols>
  <sheetData>
    <row r="1" ht="34" customHeight="1">
      <c r="A1" s="36" t="inlineStr">
        <is>
          <t>БАЗА ОТДЫХА — ФИНАНСОВАЯ МОДЕЛЬ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</row>
    <row r="2" ht="18" customHeight="1">
      <c r="A2" s="38" t="inlineStr">
        <is>
          <t>Годовой шаг · два денежных потока: проекта и собственника · обслуживание долга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</row>
    <row r="4">
      <c r="A4" s="55" t="inlineStr">
        <is>
          <t>СТАТЬЯ</t>
        </is>
      </c>
      <c r="B4" s="56" t="inlineStr">
        <is>
          <t>Год 0</t>
        </is>
      </c>
      <c r="C4" s="56" t="inlineStr">
        <is>
          <t>Год 1</t>
        </is>
      </c>
      <c r="D4" s="56" t="inlineStr">
        <is>
          <t>Год 2</t>
        </is>
      </c>
      <c r="E4" s="56" t="inlineStr">
        <is>
          <t>Год 3</t>
        </is>
      </c>
      <c r="F4" s="56" t="inlineStr">
        <is>
          <t>Год 4</t>
        </is>
      </c>
      <c r="G4" s="56" t="inlineStr">
        <is>
          <t>Год 5</t>
        </is>
      </c>
      <c r="H4" s="56" t="inlineStr">
        <is>
          <t>Год 6</t>
        </is>
      </c>
      <c r="I4" s="56" t="inlineStr">
        <is>
          <t>Год 7</t>
        </is>
      </c>
      <c r="J4" s="56" t="inlineStr">
        <is>
          <t>Год 8</t>
        </is>
      </c>
      <c r="K4" s="56" t="inlineStr">
        <is>
          <t>Год 9</t>
        </is>
      </c>
      <c r="L4" s="56" t="inlineStr">
        <is>
          <t>Год 10</t>
        </is>
      </c>
      <c r="M4" s="57" t="inlineStr">
        <is>
          <t>ИТОГО</t>
        </is>
      </c>
    </row>
    <row r="5">
      <c r="A5" s="37" t="n"/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</row>
    <row r="6">
      <c r="A6" s="46" t="inlineStr">
        <is>
          <t>ИНВЕСТИЦИИ</t>
        </is>
      </c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</row>
    <row r="7">
      <c r="A7" s="50" t="inlineStr">
        <is>
          <t>Освоение инвестиций</t>
        </is>
      </c>
      <c r="B7" s="61">
        <f>-SUM(Инвестфаза!B14:Инвестфаза!M14)</f>
        <v/>
      </c>
      <c r="C7" s="61">
        <f>-SUM(Инвестфаза!N14:Инвестфаза!Y14)</f>
        <v/>
      </c>
      <c r="D7" s="61">
        <f>0</f>
        <v/>
      </c>
      <c r="E7" s="61">
        <f>0</f>
        <v/>
      </c>
      <c r="F7" s="61">
        <f>0</f>
        <v/>
      </c>
      <c r="G7" s="61">
        <f>0</f>
        <v/>
      </c>
      <c r="H7" s="61">
        <f>0</f>
        <v/>
      </c>
      <c r="I7" s="61">
        <f>0</f>
        <v/>
      </c>
      <c r="J7" s="61">
        <f>0</f>
        <v/>
      </c>
      <c r="K7" s="61">
        <f>0</f>
        <v/>
      </c>
      <c r="L7" s="61">
        <f>0</f>
        <v/>
      </c>
      <c r="M7" s="61">
        <f>SUM(B7:L7)</f>
        <v/>
      </c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</row>
    <row r="9">
      <c r="A9" s="46" t="inlineStr">
        <is>
          <t>ЭКСПЛУАТАЦИЯ</t>
        </is>
      </c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</row>
    <row r="10">
      <c r="A10" s="48" t="inlineStr">
        <is>
          <t xml:space="preserve">   Загрузка, %</t>
        </is>
      </c>
      <c r="B10" s="58">
        <f>0</f>
        <v/>
      </c>
      <c r="C10" s="58">
        <f>0</f>
        <v/>
      </c>
      <c r="D10" s="58">
        <f>MIN(Вводные!$B$17,Вводные!$B$16+(Вводные!$B$17-Вводные!$B$16)*MIN(1,0/Вводные!$B$18))</f>
        <v/>
      </c>
      <c r="E10" s="58">
        <f>MIN(Вводные!$B$17,Вводные!$B$16+(Вводные!$B$17-Вводные!$B$16)*MIN(1,1/Вводные!$B$18))</f>
        <v/>
      </c>
      <c r="F10" s="58">
        <f>MIN(Вводные!$B$17,Вводные!$B$16+(Вводные!$B$17-Вводные!$B$16)*MIN(1,2/Вводные!$B$18))</f>
        <v/>
      </c>
      <c r="G10" s="58">
        <f>MIN(Вводные!$B$17,Вводные!$B$16+(Вводные!$B$17-Вводные!$B$16)*MIN(1,3/Вводные!$B$18))</f>
        <v/>
      </c>
      <c r="H10" s="58">
        <f>MIN(Вводные!$B$17,Вводные!$B$16+(Вводные!$B$17-Вводные!$B$16)*MIN(1,4/Вводные!$B$18))</f>
        <v/>
      </c>
      <c r="I10" s="58">
        <f>MIN(Вводные!$B$17,Вводные!$B$16+(Вводные!$B$17-Вводные!$B$16)*MIN(1,5/Вводные!$B$18))</f>
        <v/>
      </c>
      <c r="J10" s="58">
        <f>MIN(Вводные!$B$17,Вводные!$B$16+(Вводные!$B$17-Вводные!$B$16)*MIN(1,6/Вводные!$B$18))</f>
        <v/>
      </c>
      <c r="K10" s="58">
        <f>MIN(Вводные!$B$17,Вводные!$B$16+(Вводные!$B$17-Вводные!$B$16)*MIN(1,7/Вводные!$B$18))</f>
        <v/>
      </c>
      <c r="L10" s="58">
        <f>MIN(Вводные!$B$17,Вводные!$B$16+(Вводные!$B$17-Вводные!$B$16)*MIN(1,8/Вводные!$B$18))</f>
        <v/>
      </c>
      <c r="M10" s="37" t="n"/>
    </row>
    <row r="11">
      <c r="A11" s="48" t="inlineStr">
        <is>
          <t xml:space="preserve">   Средний тариф, ₸ за ночь</t>
        </is>
      </c>
      <c r="B11" s="60">
        <f>0</f>
        <v/>
      </c>
      <c r="C11" s="60">
        <f>0</f>
        <v/>
      </c>
      <c r="D11" s="60">
        <f>Вводные!$B$14*(1+Вводные!$B$15)^0</f>
        <v/>
      </c>
      <c r="E11" s="60">
        <f>Вводные!$B$14*(1+Вводные!$B$15)^1</f>
        <v/>
      </c>
      <c r="F11" s="60">
        <f>Вводные!$B$14*(1+Вводные!$B$15)^2</f>
        <v/>
      </c>
      <c r="G11" s="60">
        <f>Вводные!$B$14*(1+Вводные!$B$15)^3</f>
        <v/>
      </c>
      <c r="H11" s="60">
        <f>Вводные!$B$14*(1+Вводные!$B$15)^4</f>
        <v/>
      </c>
      <c r="I11" s="60">
        <f>Вводные!$B$14*(1+Вводные!$B$15)^5</f>
        <v/>
      </c>
      <c r="J11" s="60">
        <f>Вводные!$B$14*(1+Вводные!$B$15)^6</f>
        <v/>
      </c>
      <c r="K11" s="60">
        <f>Вводные!$B$14*(1+Вводные!$B$15)^7</f>
        <v/>
      </c>
      <c r="L11" s="60">
        <f>Вводные!$B$14*(1+Вводные!$B$15)^8</f>
        <v/>
      </c>
      <c r="M11" s="37" t="n"/>
    </row>
    <row r="12">
      <c r="A12" s="48" t="inlineStr">
        <is>
          <t xml:space="preserve">   Проданных ночей за год</t>
        </is>
      </c>
      <c r="B12" s="60">
        <f>0</f>
        <v/>
      </c>
      <c r="C12" s="60">
        <f>0</f>
        <v/>
      </c>
      <c r="D12" s="60">
        <f>Вводные!$B$8*365*D10</f>
        <v/>
      </c>
      <c r="E12" s="60">
        <f>Вводные!$B$8*365*E10</f>
        <v/>
      </c>
      <c r="F12" s="60">
        <f>Вводные!$B$8*365*F10</f>
        <v/>
      </c>
      <c r="G12" s="60">
        <f>Вводные!$B$8*365*G10</f>
        <v/>
      </c>
      <c r="H12" s="60">
        <f>Вводные!$B$8*365*H10</f>
        <v/>
      </c>
      <c r="I12" s="60">
        <f>Вводные!$B$8*365*I10</f>
        <v/>
      </c>
      <c r="J12" s="60">
        <f>Вводные!$B$8*365*J10</f>
        <v/>
      </c>
      <c r="K12" s="60">
        <f>Вводные!$B$8*365*K10</f>
        <v/>
      </c>
      <c r="L12" s="60">
        <f>Вводные!$B$8*365*L10</f>
        <v/>
      </c>
      <c r="M12" s="61">
        <f>SUM(B12:L12)</f>
        <v/>
      </c>
    </row>
    <row r="13">
      <c r="A13" s="48" t="inlineStr">
        <is>
          <t xml:space="preserve">   Выручка от размещения</t>
        </is>
      </c>
      <c r="B13" s="60">
        <f>B12*B11</f>
        <v/>
      </c>
      <c r="C13" s="60">
        <f>C12*C11</f>
        <v/>
      </c>
      <c r="D13" s="60">
        <f>D12*D11</f>
        <v/>
      </c>
      <c r="E13" s="60">
        <f>E12*E11</f>
        <v/>
      </c>
      <c r="F13" s="60">
        <f>F12*F11</f>
        <v/>
      </c>
      <c r="G13" s="60">
        <f>G12*G11</f>
        <v/>
      </c>
      <c r="H13" s="60">
        <f>H12*H11</f>
        <v/>
      </c>
      <c r="I13" s="60">
        <f>I12*I11</f>
        <v/>
      </c>
      <c r="J13" s="60">
        <f>J12*J11</f>
        <v/>
      </c>
      <c r="K13" s="60">
        <f>K12*K11</f>
        <v/>
      </c>
      <c r="L13" s="60">
        <f>L12*L11</f>
        <v/>
      </c>
      <c r="M13" s="61">
        <f>SUM(B13:L13)</f>
        <v/>
      </c>
    </row>
    <row r="14">
      <c r="A14" s="48" t="inlineStr">
        <is>
          <t xml:space="preserve">   Дополнительные доходы</t>
        </is>
      </c>
      <c r="B14" s="60">
        <f>B13*Вводные!$B$19</f>
        <v/>
      </c>
      <c r="C14" s="60">
        <f>C13*Вводные!$B$19</f>
        <v/>
      </c>
      <c r="D14" s="60">
        <f>D13*Вводные!$B$19</f>
        <v/>
      </c>
      <c r="E14" s="60">
        <f>E13*Вводные!$B$19</f>
        <v/>
      </c>
      <c r="F14" s="60">
        <f>F13*Вводные!$B$19</f>
        <v/>
      </c>
      <c r="G14" s="60">
        <f>G13*Вводные!$B$19</f>
        <v/>
      </c>
      <c r="H14" s="60">
        <f>H13*Вводные!$B$19</f>
        <v/>
      </c>
      <c r="I14" s="60">
        <f>I13*Вводные!$B$19</f>
        <v/>
      </c>
      <c r="J14" s="60">
        <f>J13*Вводные!$B$19</f>
        <v/>
      </c>
      <c r="K14" s="60">
        <f>K13*Вводные!$B$19</f>
        <v/>
      </c>
      <c r="L14" s="60">
        <f>L13*Вводные!$B$19</f>
        <v/>
      </c>
      <c r="M14" s="61">
        <f>SUM(B14:L14)</f>
        <v/>
      </c>
    </row>
    <row r="15">
      <c r="A15" s="50" t="inlineStr">
        <is>
          <t>ИТОГО ВЫРУЧКА</t>
        </is>
      </c>
      <c r="B15" s="61">
        <f>B13+B14</f>
        <v/>
      </c>
      <c r="C15" s="61">
        <f>C13+C14</f>
        <v/>
      </c>
      <c r="D15" s="61">
        <f>D13+D14</f>
        <v/>
      </c>
      <c r="E15" s="61">
        <f>E13+E14</f>
        <v/>
      </c>
      <c r="F15" s="61">
        <f>F13+F14</f>
        <v/>
      </c>
      <c r="G15" s="61">
        <f>G13+G14</f>
        <v/>
      </c>
      <c r="H15" s="61">
        <f>H13+H14</f>
        <v/>
      </c>
      <c r="I15" s="61">
        <f>I13+I14</f>
        <v/>
      </c>
      <c r="J15" s="61">
        <f>J13+J14</f>
        <v/>
      </c>
      <c r="K15" s="61">
        <f>K13+K14</f>
        <v/>
      </c>
      <c r="L15" s="61">
        <f>L13+L14</f>
        <v/>
      </c>
      <c r="M15" s="61">
        <f>SUM(B15:L15)</f>
        <v/>
      </c>
    </row>
    <row r="16">
      <c r="A16" s="48" t="inlineStr">
        <is>
          <t xml:space="preserve">   Переменные расходы</t>
        </is>
      </c>
      <c r="B16" s="60">
        <f>-B15*Вводные!$B$22</f>
        <v/>
      </c>
      <c r="C16" s="60">
        <f>-C15*Вводные!$B$22</f>
        <v/>
      </c>
      <c r="D16" s="60">
        <f>-D15*Вводные!$B$22</f>
        <v/>
      </c>
      <c r="E16" s="60">
        <f>-E15*Вводные!$B$22</f>
        <v/>
      </c>
      <c r="F16" s="60">
        <f>-F15*Вводные!$B$22</f>
        <v/>
      </c>
      <c r="G16" s="60">
        <f>-G15*Вводные!$B$22</f>
        <v/>
      </c>
      <c r="H16" s="60">
        <f>-H15*Вводные!$B$22</f>
        <v/>
      </c>
      <c r="I16" s="60">
        <f>-I15*Вводные!$B$22</f>
        <v/>
      </c>
      <c r="J16" s="60">
        <f>-J15*Вводные!$B$22</f>
        <v/>
      </c>
      <c r="K16" s="60">
        <f>-K15*Вводные!$B$22</f>
        <v/>
      </c>
      <c r="L16" s="60">
        <f>-L15*Вводные!$B$22</f>
        <v/>
      </c>
      <c r="M16" s="61">
        <f>SUM(B16:L16)</f>
        <v/>
      </c>
    </row>
    <row r="17">
      <c r="A17" s="48" t="inlineStr">
        <is>
          <t xml:space="preserve">   Оплата труда с налогами</t>
        </is>
      </c>
      <c r="B17" s="60">
        <f>0</f>
        <v/>
      </c>
      <c r="C17" s="60">
        <f>0</f>
        <v/>
      </c>
      <c r="D17" s="60">
        <f>-Вводные!$B$23*(1+Вводные!$B$24)*(1+Вводные!$B$29)^0</f>
        <v/>
      </c>
      <c r="E17" s="60">
        <f>-Вводные!$B$23*(1+Вводные!$B$24)*(1+Вводные!$B$29)^1</f>
        <v/>
      </c>
      <c r="F17" s="60">
        <f>-Вводные!$B$23*(1+Вводные!$B$24)*(1+Вводные!$B$29)^2</f>
        <v/>
      </c>
      <c r="G17" s="60">
        <f>-Вводные!$B$23*(1+Вводные!$B$24)*(1+Вводные!$B$29)^3</f>
        <v/>
      </c>
      <c r="H17" s="60">
        <f>-Вводные!$B$23*(1+Вводные!$B$24)*(1+Вводные!$B$29)^4</f>
        <v/>
      </c>
      <c r="I17" s="60">
        <f>-Вводные!$B$23*(1+Вводные!$B$24)*(1+Вводные!$B$29)^5</f>
        <v/>
      </c>
      <c r="J17" s="60">
        <f>-Вводные!$B$23*(1+Вводные!$B$24)*(1+Вводные!$B$29)^6</f>
        <v/>
      </c>
      <c r="K17" s="60">
        <f>-Вводные!$B$23*(1+Вводные!$B$24)*(1+Вводные!$B$29)^7</f>
        <v/>
      </c>
      <c r="L17" s="60">
        <f>-Вводные!$B$23*(1+Вводные!$B$24)*(1+Вводные!$B$29)^8</f>
        <v/>
      </c>
      <c r="M17" s="61">
        <f>SUM(B17:L17)</f>
        <v/>
      </c>
    </row>
    <row r="18">
      <c r="A18" s="48" t="inlineStr">
        <is>
          <t xml:space="preserve">   Коммунальные услуги</t>
        </is>
      </c>
      <c r="B18" s="60">
        <f>0</f>
        <v/>
      </c>
      <c r="C18" s="60">
        <f>0</f>
        <v/>
      </c>
      <c r="D18" s="60">
        <f>-Вводные!$B$25*(1+Вводные!$B$29)^0</f>
        <v/>
      </c>
      <c r="E18" s="60">
        <f>-Вводные!$B$25*(1+Вводные!$B$29)^1</f>
        <v/>
      </c>
      <c r="F18" s="60">
        <f>-Вводные!$B$25*(1+Вводные!$B$29)^2</f>
        <v/>
      </c>
      <c r="G18" s="60">
        <f>-Вводные!$B$25*(1+Вводные!$B$29)^3</f>
        <v/>
      </c>
      <c r="H18" s="60">
        <f>-Вводные!$B$25*(1+Вводные!$B$29)^4</f>
        <v/>
      </c>
      <c r="I18" s="60">
        <f>-Вводные!$B$25*(1+Вводные!$B$29)^5</f>
        <v/>
      </c>
      <c r="J18" s="60">
        <f>-Вводные!$B$25*(1+Вводные!$B$29)^6</f>
        <v/>
      </c>
      <c r="K18" s="60">
        <f>-Вводные!$B$25*(1+Вводные!$B$29)^7</f>
        <v/>
      </c>
      <c r="L18" s="60">
        <f>-Вводные!$B$25*(1+Вводные!$B$29)^8</f>
        <v/>
      </c>
      <c r="M18" s="61">
        <f>SUM(B18:L18)</f>
        <v/>
      </c>
    </row>
    <row r="19">
      <c r="A19" s="48" t="inlineStr">
        <is>
          <t xml:space="preserve">   Текущий ремонт и содержание</t>
        </is>
      </c>
      <c r="B19" s="60">
        <f>0</f>
        <v/>
      </c>
      <c r="C19" s="60">
        <f>0</f>
        <v/>
      </c>
      <c r="D19" s="60">
        <f>-Вводные!$B$26*(1+Вводные!$B$29)^0</f>
        <v/>
      </c>
      <c r="E19" s="60">
        <f>-Вводные!$B$26*(1+Вводные!$B$29)^1</f>
        <v/>
      </c>
      <c r="F19" s="60">
        <f>-Вводные!$B$26*(1+Вводные!$B$29)^2</f>
        <v/>
      </c>
      <c r="G19" s="60">
        <f>-Вводные!$B$26*(1+Вводные!$B$29)^3</f>
        <v/>
      </c>
      <c r="H19" s="60">
        <f>-Вводные!$B$26*(1+Вводные!$B$29)^4</f>
        <v/>
      </c>
      <c r="I19" s="60">
        <f>-Вводные!$B$26*(1+Вводные!$B$29)^5</f>
        <v/>
      </c>
      <c r="J19" s="60">
        <f>-Вводные!$B$26*(1+Вводные!$B$29)^6</f>
        <v/>
      </c>
      <c r="K19" s="60">
        <f>-Вводные!$B$26*(1+Вводные!$B$29)^7</f>
        <v/>
      </c>
      <c r="L19" s="60">
        <f>-Вводные!$B$26*(1+Вводные!$B$29)^8</f>
        <v/>
      </c>
      <c r="M19" s="61">
        <f>SUM(B19:L19)</f>
        <v/>
      </c>
    </row>
    <row r="20">
      <c r="A20" s="48" t="inlineStr">
        <is>
          <t xml:space="preserve">   Маркетинг и каналы продаж</t>
        </is>
      </c>
      <c r="B20" s="60">
        <f>-B15*Вводные!$B$27</f>
        <v/>
      </c>
      <c r="C20" s="60">
        <f>-C15*Вводные!$B$27</f>
        <v/>
      </c>
      <c r="D20" s="60">
        <f>-D15*Вводные!$B$27</f>
        <v/>
      </c>
      <c r="E20" s="60">
        <f>-E15*Вводные!$B$27</f>
        <v/>
      </c>
      <c r="F20" s="60">
        <f>-F15*Вводные!$B$27</f>
        <v/>
      </c>
      <c r="G20" s="60">
        <f>-G15*Вводные!$B$27</f>
        <v/>
      </c>
      <c r="H20" s="60">
        <f>-H15*Вводные!$B$27</f>
        <v/>
      </c>
      <c r="I20" s="60">
        <f>-I15*Вводные!$B$27</f>
        <v/>
      </c>
      <c r="J20" s="60">
        <f>-J15*Вводные!$B$27</f>
        <v/>
      </c>
      <c r="K20" s="60">
        <f>-K15*Вводные!$B$27</f>
        <v/>
      </c>
      <c r="L20" s="60">
        <f>-L15*Вводные!$B$27</f>
        <v/>
      </c>
      <c r="M20" s="61">
        <f>SUM(B20:L20)</f>
        <v/>
      </c>
    </row>
    <row r="21">
      <c r="A21" s="48" t="inlineStr">
        <is>
          <t xml:space="preserve">   Управление и прочие</t>
        </is>
      </c>
      <c r="B21" s="60">
        <f>0</f>
        <v/>
      </c>
      <c r="C21" s="60">
        <f>0</f>
        <v/>
      </c>
      <c r="D21" s="60">
        <f>-Вводные!$B$28*(1+Вводные!$B$29)^0</f>
        <v/>
      </c>
      <c r="E21" s="60">
        <f>-Вводные!$B$28*(1+Вводные!$B$29)^1</f>
        <v/>
      </c>
      <c r="F21" s="60">
        <f>-Вводные!$B$28*(1+Вводные!$B$29)^2</f>
        <v/>
      </c>
      <c r="G21" s="60">
        <f>-Вводные!$B$28*(1+Вводные!$B$29)^3</f>
        <v/>
      </c>
      <c r="H21" s="60">
        <f>-Вводные!$B$28*(1+Вводные!$B$29)^4</f>
        <v/>
      </c>
      <c r="I21" s="60">
        <f>-Вводные!$B$28*(1+Вводные!$B$29)^5</f>
        <v/>
      </c>
      <c r="J21" s="60">
        <f>-Вводные!$B$28*(1+Вводные!$B$29)^6</f>
        <v/>
      </c>
      <c r="K21" s="60">
        <f>-Вводные!$B$28*(1+Вводные!$B$29)^7</f>
        <v/>
      </c>
      <c r="L21" s="60">
        <f>-Вводные!$B$28*(1+Вводные!$B$29)^8</f>
        <v/>
      </c>
      <c r="M21" s="61">
        <f>SUM(B21:L21)</f>
        <v/>
      </c>
    </row>
    <row r="22">
      <c r="A22" s="50" t="inlineStr">
        <is>
          <t>Итого операционные расходы</t>
        </is>
      </c>
      <c r="B22" s="61">
        <f>SUM(B16:B21)</f>
        <v/>
      </c>
      <c r="C22" s="61">
        <f>SUM(C16:C21)</f>
        <v/>
      </c>
      <c r="D22" s="61">
        <f>SUM(D16:D21)</f>
        <v/>
      </c>
      <c r="E22" s="61">
        <f>SUM(E16:E21)</f>
        <v/>
      </c>
      <c r="F22" s="61">
        <f>SUM(F16:F21)</f>
        <v/>
      </c>
      <c r="G22" s="61">
        <f>SUM(G16:G21)</f>
        <v/>
      </c>
      <c r="H22" s="61">
        <f>SUM(H16:H21)</f>
        <v/>
      </c>
      <c r="I22" s="61">
        <f>SUM(I16:I21)</f>
        <v/>
      </c>
      <c r="J22" s="61">
        <f>SUM(J16:J21)</f>
        <v/>
      </c>
      <c r="K22" s="61">
        <f>SUM(K16:K21)</f>
        <v/>
      </c>
      <c r="L22" s="61">
        <f>SUM(L16:L21)</f>
        <v/>
      </c>
      <c r="M22" s="61">
        <f>SUM(B22:L22)</f>
        <v/>
      </c>
    </row>
    <row r="23">
      <c r="A23" s="50" t="inlineStr">
        <is>
          <t>EBITDA</t>
        </is>
      </c>
      <c r="B23" s="61">
        <f>B15+B22</f>
        <v/>
      </c>
      <c r="C23" s="61">
        <f>C15+C22</f>
        <v/>
      </c>
      <c r="D23" s="61">
        <f>D15+D22</f>
        <v/>
      </c>
      <c r="E23" s="61">
        <f>E15+E22</f>
        <v/>
      </c>
      <c r="F23" s="61">
        <f>F15+F22</f>
        <v/>
      </c>
      <c r="G23" s="61">
        <f>G15+G22</f>
        <v/>
      </c>
      <c r="H23" s="61">
        <f>H15+H22</f>
        <v/>
      </c>
      <c r="I23" s="61">
        <f>I15+I22</f>
        <v/>
      </c>
      <c r="J23" s="61">
        <f>J15+J22</f>
        <v/>
      </c>
      <c r="K23" s="61">
        <f>K15+K22</f>
        <v/>
      </c>
      <c r="L23" s="61">
        <f>L15+L22</f>
        <v/>
      </c>
      <c r="M23" s="61">
        <f>SUM(B23:L23)</f>
        <v/>
      </c>
    </row>
    <row r="24">
      <c r="A24" s="48" t="inlineStr">
        <is>
          <t xml:space="preserve">   Рентабельность по EBITDA, %</t>
        </is>
      </c>
      <c r="B24" s="58">
        <f>IF(B15=0,0,B23/B15)</f>
        <v/>
      </c>
      <c r="C24" s="58">
        <f>IF(C15=0,0,C23/C15)</f>
        <v/>
      </c>
      <c r="D24" s="58">
        <f>IF(D15=0,0,D23/D15)</f>
        <v/>
      </c>
      <c r="E24" s="58">
        <f>IF(E15=0,0,E23/E15)</f>
        <v/>
      </c>
      <c r="F24" s="58">
        <f>IF(F15=0,0,F23/F15)</f>
        <v/>
      </c>
      <c r="G24" s="58">
        <f>IF(G15=0,0,G23/G15)</f>
        <v/>
      </c>
      <c r="H24" s="58">
        <f>IF(H15=0,0,H23/H15)</f>
        <v/>
      </c>
      <c r="I24" s="58">
        <f>IF(I15=0,0,I23/I15)</f>
        <v/>
      </c>
      <c r="J24" s="58">
        <f>IF(J15=0,0,J23/J15)</f>
        <v/>
      </c>
      <c r="K24" s="58">
        <f>IF(K15=0,0,K23/K15)</f>
        <v/>
      </c>
      <c r="L24" s="58">
        <f>IF(L15=0,0,L23/L15)</f>
        <v/>
      </c>
      <c r="M24" s="37" t="n"/>
    </row>
    <row r="25">
      <c r="A25" s="48" t="inlineStr">
        <is>
          <t xml:space="preserve">   Выручка на дом в год, ₸</t>
        </is>
      </c>
      <c r="B25" s="60">
        <f>IF(Вводные!$B$8=0,0,B15/Вводные!$B$8)</f>
        <v/>
      </c>
      <c r="C25" s="60">
        <f>IF(Вводные!$B$8=0,0,C15/Вводные!$B$8)</f>
        <v/>
      </c>
      <c r="D25" s="60">
        <f>IF(Вводные!$B$8=0,0,D15/Вводные!$B$8)</f>
        <v/>
      </c>
      <c r="E25" s="60">
        <f>IF(Вводные!$B$8=0,0,E15/Вводные!$B$8)</f>
        <v/>
      </c>
      <c r="F25" s="60">
        <f>IF(Вводные!$B$8=0,0,F15/Вводные!$B$8)</f>
        <v/>
      </c>
      <c r="G25" s="60">
        <f>IF(Вводные!$B$8=0,0,G15/Вводные!$B$8)</f>
        <v/>
      </c>
      <c r="H25" s="60">
        <f>IF(Вводные!$B$8=0,0,H15/Вводные!$B$8)</f>
        <v/>
      </c>
      <c r="I25" s="60">
        <f>IF(Вводные!$B$8=0,0,I15/Вводные!$B$8)</f>
        <v/>
      </c>
      <c r="J25" s="60">
        <f>IF(Вводные!$B$8=0,0,J15/Вводные!$B$8)</f>
        <v/>
      </c>
      <c r="K25" s="60">
        <f>IF(Вводные!$B$8=0,0,K15/Вводные!$B$8)</f>
        <v/>
      </c>
      <c r="L25" s="60">
        <f>IF(Вводные!$B$8=0,0,L15/Вводные!$B$8)</f>
        <v/>
      </c>
      <c r="M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</row>
    <row r="27">
      <c r="A27" s="46" t="inlineStr">
        <is>
          <t>ДОЛГ И ПРИБЫЛЬ</t>
        </is>
      </c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</row>
    <row r="28">
      <c r="A28" s="48" t="inlineStr">
        <is>
          <t xml:space="preserve">   Получение кредита</t>
        </is>
      </c>
      <c r="B28" s="60">
        <f>SUM(Инвестфаза!B20:M20)</f>
        <v/>
      </c>
      <c r="C28" s="60">
        <f>SUM(Инвестфаза!N20:Y20)</f>
        <v/>
      </c>
      <c r="D28" s="60">
        <f>0</f>
        <v/>
      </c>
      <c r="E28" s="60">
        <f>0</f>
        <v/>
      </c>
      <c r="F28" s="60">
        <f>0</f>
        <v/>
      </c>
      <c r="G28" s="60">
        <f>0</f>
        <v/>
      </c>
      <c r="H28" s="60">
        <f>0</f>
        <v/>
      </c>
      <c r="I28" s="60">
        <f>0</f>
        <v/>
      </c>
      <c r="J28" s="60">
        <f>0</f>
        <v/>
      </c>
      <c r="K28" s="60">
        <f>0</f>
        <v/>
      </c>
      <c r="L28" s="60">
        <f>0</f>
        <v/>
      </c>
      <c r="M28" s="61">
        <f>SUM(B28:L28)</f>
        <v/>
      </c>
    </row>
    <row r="29">
      <c r="A29" s="48" t="inlineStr">
        <is>
          <t xml:space="preserve">   Проценты по кредиту</t>
        </is>
      </c>
      <c r="B29" s="60">
        <f>0</f>
        <v/>
      </c>
      <c r="C29" s="60">
        <f>-B31*Вводные!$B$34</f>
        <v/>
      </c>
      <c r="D29" s="60">
        <f>-C31*Вводные!$B$34</f>
        <v/>
      </c>
      <c r="E29" s="60">
        <f>-D31*Вводные!$B$34</f>
        <v/>
      </c>
      <c r="F29" s="60">
        <f>-E31*Вводные!$B$34</f>
        <v/>
      </c>
      <c r="G29" s="60">
        <f>-F31*Вводные!$B$34</f>
        <v/>
      </c>
      <c r="H29" s="60">
        <f>-G31*Вводные!$B$34</f>
        <v/>
      </c>
      <c r="I29" s="60">
        <f>-H31*Вводные!$B$34</f>
        <v/>
      </c>
      <c r="J29" s="60">
        <f>-I31*Вводные!$B$34</f>
        <v/>
      </c>
      <c r="K29" s="60">
        <f>-J31*Вводные!$B$34</f>
        <v/>
      </c>
      <c r="L29" s="60">
        <f>-K31*Вводные!$B$34</f>
        <v/>
      </c>
      <c r="M29" s="61">
        <f>SUM(B29:L29)</f>
        <v/>
      </c>
    </row>
    <row r="30">
      <c r="A30" s="48" t="inlineStr">
        <is>
          <t xml:space="preserve">   Погашение тела</t>
        </is>
      </c>
      <c r="B30" s="60">
        <f>0</f>
        <v/>
      </c>
      <c r="C30" s="60">
        <f>0</f>
        <v/>
      </c>
      <c r="D30" s="60">
        <f>-IF(2&lt;Вводные!$B$36,0,MIN(M28/(Вводные!$B$35-Вводные!$B$36),MAX(0,C31)))</f>
        <v/>
      </c>
      <c r="E30" s="60">
        <f>-IF(3&lt;Вводные!$B$36,0,MIN(M28/(Вводные!$B$35-Вводные!$B$36),MAX(0,D31)))</f>
        <v/>
      </c>
      <c r="F30" s="60">
        <f>-IF(4&lt;Вводные!$B$36,0,MIN(M28/(Вводные!$B$35-Вводные!$B$36),MAX(0,E31)))</f>
        <v/>
      </c>
      <c r="G30" s="60">
        <f>-IF(5&lt;Вводные!$B$36,0,MIN(M28/(Вводные!$B$35-Вводные!$B$36),MAX(0,F31)))</f>
        <v/>
      </c>
      <c r="H30" s="60">
        <f>-IF(6&lt;Вводные!$B$36,0,MIN(M28/(Вводные!$B$35-Вводные!$B$36),MAX(0,G31)))</f>
        <v/>
      </c>
      <c r="I30" s="60">
        <f>-IF(7&lt;Вводные!$B$36,0,MIN(M28/(Вводные!$B$35-Вводные!$B$36),MAX(0,H31)))</f>
        <v/>
      </c>
      <c r="J30" s="60">
        <f>-IF(8&lt;Вводные!$B$36,0,MIN(M28/(Вводные!$B$35-Вводные!$B$36),MAX(0,I31)))</f>
        <v/>
      </c>
      <c r="K30" s="60">
        <f>-IF(9&lt;Вводные!$B$36,0,MIN(M28/(Вводные!$B$35-Вводные!$B$36),MAX(0,J31)))</f>
        <v/>
      </c>
      <c r="L30" s="60">
        <f>-IF(10&lt;Вводные!$B$36,0,MIN(M28/(Вводные!$B$35-Вводные!$B$36),MAX(0,K31)))</f>
        <v/>
      </c>
      <c r="M30" s="61">
        <f>SUM(B30:L30)</f>
        <v/>
      </c>
    </row>
    <row r="31">
      <c r="A31" s="50" t="inlineStr">
        <is>
          <t>Остаток долга на конец года</t>
        </is>
      </c>
      <c r="B31" s="61">
        <f>B28+B30</f>
        <v/>
      </c>
      <c r="C31" s="61">
        <f>B31+C28+C30</f>
        <v/>
      </c>
      <c r="D31" s="61">
        <f>C31+D28+D30</f>
        <v/>
      </c>
      <c r="E31" s="61">
        <f>D31+E28+E30</f>
        <v/>
      </c>
      <c r="F31" s="61">
        <f>E31+F28+F30</f>
        <v/>
      </c>
      <c r="G31" s="61">
        <f>F31+G28+G30</f>
        <v/>
      </c>
      <c r="H31" s="61">
        <f>G31+H28+H30</f>
        <v/>
      </c>
      <c r="I31" s="61">
        <f>H31+I28+I30</f>
        <v/>
      </c>
      <c r="J31" s="61">
        <f>I31+J28+J30</f>
        <v/>
      </c>
      <c r="K31" s="61">
        <f>J31+K28+K30</f>
        <v/>
      </c>
      <c r="L31" s="61">
        <f>K31+L28+L30</f>
        <v/>
      </c>
      <c r="M31" s="37" t="n"/>
    </row>
    <row r="32">
      <c r="A32" s="48" t="inlineStr">
        <is>
          <t xml:space="preserve">   Амортизация</t>
        </is>
      </c>
      <c r="B32" s="60">
        <f>0</f>
        <v/>
      </c>
      <c r="C32" s="60">
        <f>0</f>
        <v/>
      </c>
      <c r="D32" s="60">
        <f>-(Вводные!$B$11-Вводные!$B$5)/Вводные!$B$38</f>
        <v/>
      </c>
      <c r="E32" s="60">
        <f>-(Вводные!$B$11-Вводные!$B$5)/Вводные!$B$38</f>
        <v/>
      </c>
      <c r="F32" s="60">
        <f>-(Вводные!$B$11-Вводные!$B$5)/Вводные!$B$38</f>
        <v/>
      </c>
      <c r="G32" s="60">
        <f>-(Вводные!$B$11-Вводные!$B$5)/Вводные!$B$38</f>
        <v/>
      </c>
      <c r="H32" s="60">
        <f>-(Вводные!$B$11-Вводные!$B$5)/Вводные!$B$38</f>
        <v/>
      </c>
      <c r="I32" s="60">
        <f>-(Вводные!$B$11-Вводные!$B$5)/Вводные!$B$38</f>
        <v/>
      </c>
      <c r="J32" s="60">
        <f>-(Вводные!$B$11-Вводные!$B$5)/Вводные!$B$38</f>
        <v/>
      </c>
      <c r="K32" s="60">
        <f>-(Вводные!$B$11-Вводные!$B$5)/Вводные!$B$38</f>
        <v/>
      </c>
      <c r="L32" s="60">
        <f>-(Вводные!$B$11-Вводные!$B$5)/Вводные!$B$38</f>
        <v/>
      </c>
      <c r="M32" s="61">
        <f>SUM(B32:L32)</f>
        <v/>
      </c>
    </row>
    <row r="33">
      <c r="A33" s="50" t="inlineStr">
        <is>
          <t>Прибыль до налога</t>
        </is>
      </c>
      <c r="B33" s="61">
        <f>B23+B32+B29</f>
        <v/>
      </c>
      <c r="C33" s="61">
        <f>C23+C32+C29</f>
        <v/>
      </c>
      <c r="D33" s="61">
        <f>D23+D32+D29</f>
        <v/>
      </c>
      <c r="E33" s="61">
        <f>E23+E32+E29</f>
        <v/>
      </c>
      <c r="F33" s="61">
        <f>F23+F32+F29</f>
        <v/>
      </c>
      <c r="G33" s="61">
        <f>G23+G32+G29</f>
        <v/>
      </c>
      <c r="H33" s="61">
        <f>H23+H32+H29</f>
        <v/>
      </c>
      <c r="I33" s="61">
        <f>I23+I32+I29</f>
        <v/>
      </c>
      <c r="J33" s="61">
        <f>J23+J32+J29</f>
        <v/>
      </c>
      <c r="K33" s="61">
        <f>K23+K32+K29</f>
        <v/>
      </c>
      <c r="L33" s="61">
        <f>L23+L32+L29</f>
        <v/>
      </c>
      <c r="M33" s="61">
        <f>SUM(B33:L33)</f>
        <v/>
      </c>
    </row>
    <row r="34">
      <c r="A34" s="48" t="inlineStr">
        <is>
          <t xml:space="preserve">   Корпоративный подоходный налог</t>
        </is>
      </c>
      <c r="B34" s="60">
        <f>-MAX(0,B33)*Вводные!$B$39</f>
        <v/>
      </c>
      <c r="C34" s="60">
        <f>-MAX(0,C33)*Вводные!$B$39</f>
        <v/>
      </c>
      <c r="D34" s="60">
        <f>-MAX(0,D33)*Вводные!$B$39</f>
        <v/>
      </c>
      <c r="E34" s="60">
        <f>-MAX(0,E33)*Вводные!$B$39</f>
        <v/>
      </c>
      <c r="F34" s="60">
        <f>-MAX(0,F33)*Вводные!$B$39</f>
        <v/>
      </c>
      <c r="G34" s="60">
        <f>-MAX(0,G33)*Вводные!$B$39</f>
        <v/>
      </c>
      <c r="H34" s="60">
        <f>-MAX(0,H33)*Вводные!$B$39</f>
        <v/>
      </c>
      <c r="I34" s="60">
        <f>-MAX(0,I33)*Вводные!$B$39</f>
        <v/>
      </c>
      <c r="J34" s="60">
        <f>-MAX(0,J33)*Вводные!$B$39</f>
        <v/>
      </c>
      <c r="K34" s="60">
        <f>-MAX(0,K33)*Вводные!$B$39</f>
        <v/>
      </c>
      <c r="L34" s="60">
        <f>-MAX(0,L33)*Вводные!$B$39</f>
        <v/>
      </c>
      <c r="M34" s="61">
        <f>SUM(B34:L34)</f>
        <v/>
      </c>
    </row>
    <row r="35">
      <c r="A35" s="50" t="inlineStr">
        <is>
          <t>ЧИСТАЯ ПРИБЫЛЬ</t>
        </is>
      </c>
      <c r="B35" s="61">
        <f>B33+B34</f>
        <v/>
      </c>
      <c r="C35" s="61">
        <f>C33+C34</f>
        <v/>
      </c>
      <c r="D35" s="61">
        <f>D33+D34</f>
        <v/>
      </c>
      <c r="E35" s="61">
        <f>E33+E34</f>
        <v/>
      </c>
      <c r="F35" s="61">
        <f>F33+F34</f>
        <v/>
      </c>
      <c r="G35" s="61">
        <f>G33+G34</f>
        <v/>
      </c>
      <c r="H35" s="61">
        <f>H33+H34</f>
        <v/>
      </c>
      <c r="I35" s="61">
        <f>I33+I34</f>
        <v/>
      </c>
      <c r="J35" s="61">
        <f>J33+J34</f>
        <v/>
      </c>
      <c r="K35" s="61">
        <f>K33+K34</f>
        <v/>
      </c>
      <c r="L35" s="61">
        <f>L33+L34</f>
        <v/>
      </c>
      <c r="M35" s="61">
        <f>SUM(B35:L35)</f>
        <v/>
      </c>
    </row>
    <row r="36">
      <c r="A36" s="50" t="inlineStr">
        <is>
          <t>Коэффициент обслуживания долга (DSCR)</t>
        </is>
      </c>
      <c r="B36" s="62">
        <f>"—"</f>
        <v/>
      </c>
      <c r="C36" s="62">
        <f>"—"</f>
        <v/>
      </c>
      <c r="D36" s="62">
        <f>IF(-(D29+D30)&lt;=1000,"—",(D23+D34)/-(D29+D30))</f>
        <v/>
      </c>
      <c r="E36" s="62">
        <f>IF(-(E29+E30)&lt;=1000,"—",(E23+E34)/-(E29+E30))</f>
        <v/>
      </c>
      <c r="F36" s="62">
        <f>IF(-(F29+F30)&lt;=1000,"—",(F23+F34)/-(F29+F30))</f>
        <v/>
      </c>
      <c r="G36" s="62">
        <f>IF(-(G29+G30)&lt;=1000,"—",(G23+G34)/-(G29+G30))</f>
        <v/>
      </c>
      <c r="H36" s="62">
        <f>IF(-(H29+H30)&lt;=1000,"—",(H23+H34)/-(H29+H30))</f>
        <v/>
      </c>
      <c r="I36" s="62">
        <f>IF(-(I29+I30)&lt;=1000,"—",(I23+I34)/-(I29+I30))</f>
        <v/>
      </c>
      <c r="J36" s="62">
        <f>IF(-(J29+J30)&lt;=1000,"—",(J23+J34)/-(J29+J30))</f>
        <v/>
      </c>
      <c r="K36" s="62">
        <f>IF(-(K29+K30)&lt;=1000,"—",(K23+K34)/-(K29+K30))</f>
        <v/>
      </c>
      <c r="L36" s="62">
        <f>IF(-(L29+L30)&lt;=1000,"—",(L23+L34)/-(L29+L30))</f>
        <v/>
      </c>
      <c r="M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</row>
    <row r="38">
      <c r="A38" s="46" t="inlineStr">
        <is>
          <t>ДЕНЕЖНЫЕ ПОТОКИ</t>
        </is>
      </c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</row>
    <row r="39">
      <c r="A39" s="48" t="inlineStr">
        <is>
          <t xml:space="preserve">   Стоимость объекта при выходе</t>
        </is>
      </c>
      <c r="B39" s="60">
        <f>0</f>
        <v/>
      </c>
      <c r="C39" s="60">
        <f>0</f>
        <v/>
      </c>
      <c r="D39" s="60">
        <f>0</f>
        <v/>
      </c>
      <c r="E39" s="60">
        <f>0</f>
        <v/>
      </c>
      <c r="F39" s="60">
        <f>0</f>
        <v/>
      </c>
      <c r="G39" s="60">
        <f>0</f>
        <v/>
      </c>
      <c r="H39" s="60">
        <f>0</f>
        <v/>
      </c>
      <c r="I39" s="60">
        <f>0</f>
        <v/>
      </c>
      <c r="J39" s="60">
        <f>0</f>
        <v/>
      </c>
      <c r="K39" s="60">
        <f>0</f>
        <v/>
      </c>
      <c r="L39" s="60">
        <f>L23*Вводные!$B$40</f>
        <v/>
      </c>
      <c r="M39" s="61">
        <f>SUM(B39:L39)</f>
        <v/>
      </c>
    </row>
    <row r="40">
      <c r="A40" s="50" t="inlineStr">
        <is>
          <t>Денежный поток проекта</t>
        </is>
      </c>
      <c r="B40" s="61">
        <f>B23+B34+B7+B39</f>
        <v/>
      </c>
      <c r="C40" s="61">
        <f>C23+C34+C7+C39</f>
        <v/>
      </c>
      <c r="D40" s="61">
        <f>D23+D34+D7+D39</f>
        <v/>
      </c>
      <c r="E40" s="61">
        <f>E23+E34+E7+E39</f>
        <v/>
      </c>
      <c r="F40" s="61">
        <f>F23+F34+F7+F39</f>
        <v/>
      </c>
      <c r="G40" s="61">
        <f>G23+G34+G7+G39</f>
        <v/>
      </c>
      <c r="H40" s="61">
        <f>H23+H34+H7+H39</f>
        <v/>
      </c>
      <c r="I40" s="61">
        <f>I23+I34+I7+I39</f>
        <v/>
      </c>
      <c r="J40" s="61">
        <f>J23+J34+J7+J39</f>
        <v/>
      </c>
      <c r="K40" s="61">
        <f>K23+K34+K7+K39</f>
        <v/>
      </c>
      <c r="L40" s="61">
        <f>L23+L34+L7+L39</f>
        <v/>
      </c>
      <c r="M40" s="61">
        <f>SUM(B40:L40)</f>
        <v/>
      </c>
    </row>
    <row r="41">
      <c r="A41" s="50" t="inlineStr">
        <is>
          <t>Денежный поток собственника</t>
        </is>
      </c>
      <c r="B41" s="61">
        <f>B40+B28+B29+B30-IF(0=10,B31,0)</f>
        <v/>
      </c>
      <c r="C41" s="61">
        <f>C40+C28+C29+C30-IF(1=10,C31,0)</f>
        <v/>
      </c>
      <c r="D41" s="61">
        <f>D40+D28+D29+D30-IF(2=10,D31,0)</f>
        <v/>
      </c>
      <c r="E41" s="61">
        <f>E40+E28+E29+E30-IF(3=10,E31,0)</f>
        <v/>
      </c>
      <c r="F41" s="61">
        <f>F40+F28+F29+F30-IF(4=10,F31,0)</f>
        <v/>
      </c>
      <c r="G41" s="61">
        <f>G40+G28+G29+G30-IF(5=10,G31,0)</f>
        <v/>
      </c>
      <c r="H41" s="61">
        <f>H40+H28+H29+H30-IF(6=10,H31,0)</f>
        <v/>
      </c>
      <c r="I41" s="61">
        <f>I40+I28+I29+I30-IF(7=10,I31,0)</f>
        <v/>
      </c>
      <c r="J41" s="61">
        <f>J40+J28+J29+J30-IF(8=10,J31,0)</f>
        <v/>
      </c>
      <c r="K41" s="61">
        <f>K40+K28+K29+K30-IF(9=10,K31,0)</f>
        <v/>
      </c>
      <c r="L41" s="61">
        <f>L40+L28+L29+L30-IF(10=10,L31,0)</f>
        <v/>
      </c>
      <c r="M41" s="61">
        <f>SUM(B41:L41)</f>
        <v/>
      </c>
    </row>
    <row r="42">
      <c r="A42" s="48" t="inlineStr">
        <is>
          <t xml:space="preserve">   Коэффициент дисконтирования</t>
        </is>
      </c>
      <c r="B42" s="63">
        <f>1/(1+Вводные!$B$43)^0</f>
        <v/>
      </c>
      <c r="C42" s="63">
        <f>1/(1+Вводные!$B$43)^1</f>
        <v/>
      </c>
      <c r="D42" s="63">
        <f>1/(1+Вводные!$B$43)^2</f>
        <v/>
      </c>
      <c r="E42" s="63">
        <f>1/(1+Вводные!$B$43)^3</f>
        <v/>
      </c>
      <c r="F42" s="63">
        <f>1/(1+Вводные!$B$43)^4</f>
        <v/>
      </c>
      <c r="G42" s="63">
        <f>1/(1+Вводные!$B$43)^5</f>
        <v/>
      </c>
      <c r="H42" s="63">
        <f>1/(1+Вводные!$B$43)^6</f>
        <v/>
      </c>
      <c r="I42" s="63">
        <f>1/(1+Вводные!$B$43)^7</f>
        <v/>
      </c>
      <c r="J42" s="63">
        <f>1/(1+Вводные!$B$43)^8</f>
        <v/>
      </c>
      <c r="K42" s="63">
        <f>1/(1+Вводные!$B$43)^9</f>
        <v/>
      </c>
      <c r="L42" s="63">
        <f>1/(1+Вводные!$B$43)^10</f>
        <v/>
      </c>
      <c r="M42" s="37" t="n"/>
    </row>
    <row r="43">
      <c r="A43" s="48" t="inlineStr">
        <is>
          <t xml:space="preserve">   Дисконтированный поток проекта</t>
        </is>
      </c>
      <c r="B43" s="60">
        <f>B40*B42</f>
        <v/>
      </c>
      <c r="C43" s="60">
        <f>C40*C42</f>
        <v/>
      </c>
      <c r="D43" s="60">
        <f>D40*D42</f>
        <v/>
      </c>
      <c r="E43" s="60">
        <f>E40*E42</f>
        <v/>
      </c>
      <c r="F43" s="60">
        <f>F40*F42</f>
        <v/>
      </c>
      <c r="G43" s="60">
        <f>G40*G42</f>
        <v/>
      </c>
      <c r="H43" s="60">
        <f>H40*H42</f>
        <v/>
      </c>
      <c r="I43" s="60">
        <f>I40*I42</f>
        <v/>
      </c>
      <c r="J43" s="60">
        <f>J40*J42</f>
        <v/>
      </c>
      <c r="K43" s="60">
        <f>K40*K42</f>
        <v/>
      </c>
      <c r="L43" s="60">
        <f>L40*L42</f>
        <v/>
      </c>
      <c r="M43" s="61">
        <f>SUM(B43:L43)</f>
        <v/>
      </c>
    </row>
    <row r="44">
      <c r="A44" s="50" t="inlineStr">
        <is>
          <t>Накопленный дисконтированный поток</t>
        </is>
      </c>
      <c r="B44" s="61">
        <f>B43</f>
        <v/>
      </c>
      <c r="C44" s="61">
        <f>B44+C43</f>
        <v/>
      </c>
      <c r="D44" s="61">
        <f>C44+D43</f>
        <v/>
      </c>
      <c r="E44" s="61">
        <f>D44+E43</f>
        <v/>
      </c>
      <c r="F44" s="61">
        <f>E44+F43</f>
        <v/>
      </c>
      <c r="G44" s="61">
        <f>F44+G43</f>
        <v/>
      </c>
      <c r="H44" s="61">
        <f>G44+H43</f>
        <v/>
      </c>
      <c r="I44" s="61">
        <f>H44+I43</f>
        <v/>
      </c>
      <c r="J44" s="61">
        <f>I44+J43</f>
        <v/>
      </c>
      <c r="K44" s="61">
        <f>J44+K43</f>
        <v/>
      </c>
      <c r="L44" s="61">
        <f>K44+L43</f>
        <v/>
      </c>
      <c r="M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</row>
    <row r="46">
      <c r="A46" s="45" t="inlineStr">
        <is>
          <t>Пример из витрины. Все цифры условные и не относятся к какому-либо действующему проекту.</t>
        </is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939F"/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7" customWidth="1" min="13" max="13"/>
    <col width="10" customWidth="1" min="14" max="14"/>
  </cols>
  <sheetData>
    <row r="1" ht="34" customHeight="1">
      <c r="A1" s="36" t="inlineStr">
        <is>
          <t>ЧУВСТВИТЕЛЬНОСТЬ И СЦЕНАРИИ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</row>
    <row r="2" ht="18" customHeight="1">
      <c r="A2" s="38" t="inlineStr">
        <is>
          <t>NPV проекта при разных сочетаниях загрузки и тарифа · 25 расчётов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</row>
    <row r="4">
      <c r="A4" s="37" t="n"/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64" t="inlineStr">
        <is>
          <t>NPV</t>
        </is>
      </c>
      <c r="N4" s="64" t="inlineStr">
        <is>
          <t>IRR</t>
        </is>
      </c>
    </row>
    <row r="5">
      <c r="A5" s="45" t="inlineStr">
        <is>
          <t>Пересчёт денежного потока проекта для каждой комбинации</t>
        </is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</row>
    <row r="6">
      <c r="A6" s="48" t="inlineStr">
        <is>
          <t>Загрузка -10% · тариф -10%</t>
        </is>
      </c>
      <c r="B6" s="60">
        <f>Модель!B7</f>
        <v/>
      </c>
      <c r="C6" s="60">
        <f>Модель!C7</f>
        <v/>
      </c>
      <c r="D6" s="60">
        <f>((Вводные!$B$8*365*MIN((Вводные!$B$17+-0.1),Вводные!$B$16+((Вводные!$B$17+-0.1)-Вводные!$B$16)*MIN(1,0/Вводные!$B$18))*(Вводные!$B$14*(1+-0.1))*(1+Вводные!$B$15)^0*(1+Вводные!$B$19))*(1-Вводные!$B$22-Вводные!$B$27)+(Модель!D17+Модель!D18+Модель!D19+Модель!D21))-MAX(0,((Вводные!$B$8*365*MIN((Вводные!$B$17+-0.1),Вводные!$B$16+((Вводные!$B$17+-0.1)-Вводные!$B$16)*MIN(1,0/Вводные!$B$18))*(Вводные!$B$14*(1+-0.1))*(1+Вводные!$B$15)^0*(1+Вводные!$B$19))*(1-Вводные!$B$22-Вводные!$B$27)+(Модель!D17+Модель!D18+Модель!D19+Модель!D21))+Модель!D32+Модель!D29)*Вводные!$B$39</f>
        <v/>
      </c>
      <c r="E6" s="60">
        <f>((Вводные!$B$8*365*MIN((Вводные!$B$17+-0.1),Вводные!$B$16+((Вводные!$B$17+-0.1)-Вводные!$B$16)*MIN(1,1/Вводные!$B$18))*(Вводные!$B$14*(1+-0.1))*(1+Вводные!$B$15)^1*(1+Вводные!$B$19))*(1-Вводные!$B$22-Вводные!$B$27)+(Модель!E17+Модель!E18+Модель!E19+Модель!E21))-MAX(0,((Вводные!$B$8*365*MIN((Вводные!$B$17+-0.1),Вводные!$B$16+((Вводные!$B$17+-0.1)-Вводные!$B$16)*MIN(1,1/Вводные!$B$18))*(Вводные!$B$14*(1+-0.1))*(1+Вводные!$B$15)^1*(1+Вводные!$B$19))*(1-Вводные!$B$22-Вводные!$B$27)+(Модель!E17+Модель!E18+Модель!E19+Модель!E21))+Модель!E32+Модель!E29)*Вводные!$B$39</f>
        <v/>
      </c>
      <c r="F6" s="60">
        <f>((Вводные!$B$8*365*MIN((Вводные!$B$17+-0.1),Вводные!$B$16+((Вводные!$B$17+-0.1)-Вводные!$B$16)*MIN(1,2/Вводные!$B$18))*(Вводные!$B$14*(1+-0.1))*(1+Вводные!$B$15)^2*(1+Вводные!$B$19))*(1-Вводные!$B$22-Вводные!$B$27)+(Модель!F17+Модель!F18+Модель!F19+Модель!F21))-MAX(0,((Вводные!$B$8*365*MIN((Вводные!$B$17+-0.1),Вводные!$B$16+((Вводные!$B$17+-0.1)-Вводные!$B$16)*MIN(1,2/Вводные!$B$18))*(Вводные!$B$14*(1+-0.1))*(1+Вводные!$B$15)^2*(1+Вводные!$B$19))*(1-Вводные!$B$22-Вводные!$B$27)+(Модель!F17+Модель!F18+Модель!F19+Модель!F21))+Модель!F32+Модель!F29)*Вводные!$B$39</f>
        <v/>
      </c>
      <c r="G6" s="60">
        <f>((Вводные!$B$8*365*MIN((Вводные!$B$17+-0.1),Вводные!$B$16+((Вводные!$B$17+-0.1)-Вводные!$B$16)*MIN(1,3/Вводные!$B$18))*(Вводные!$B$14*(1+-0.1))*(1+Вводные!$B$15)^3*(1+Вводные!$B$19))*(1-Вводные!$B$22-Вводные!$B$27)+(Модель!G17+Модель!G18+Модель!G19+Модель!G21))-MAX(0,((Вводные!$B$8*365*MIN((Вводные!$B$17+-0.1),Вводные!$B$16+((Вводные!$B$17+-0.1)-Вводные!$B$16)*MIN(1,3/Вводные!$B$18))*(Вводные!$B$14*(1+-0.1))*(1+Вводные!$B$15)^3*(1+Вводные!$B$19))*(1-Вводные!$B$22-Вводные!$B$27)+(Модель!G17+Модель!G18+Модель!G19+Модель!G21))+Модель!G32+Модель!G29)*Вводные!$B$39</f>
        <v/>
      </c>
      <c r="H6" s="60">
        <f>((Вводные!$B$8*365*MIN((Вводные!$B$17+-0.1),Вводные!$B$16+((Вводные!$B$17+-0.1)-Вводные!$B$16)*MIN(1,4/Вводные!$B$18))*(Вводные!$B$14*(1+-0.1))*(1+Вводные!$B$15)^4*(1+Вводные!$B$19))*(1-Вводные!$B$22-Вводные!$B$27)+(Модель!H17+Модель!H18+Модель!H19+Модель!H21))-MAX(0,((Вводные!$B$8*365*MIN((Вводные!$B$17+-0.1),Вводные!$B$16+((Вводные!$B$17+-0.1)-Вводные!$B$16)*MIN(1,4/Вводные!$B$18))*(Вводные!$B$14*(1+-0.1))*(1+Вводные!$B$15)^4*(1+Вводные!$B$19))*(1-Вводные!$B$22-Вводные!$B$27)+(Модель!H17+Модель!H18+Модель!H19+Модель!H21))+Модель!H32+Модель!H29)*Вводные!$B$39</f>
        <v/>
      </c>
      <c r="I6" s="60">
        <f>((Вводные!$B$8*365*MIN((Вводные!$B$17+-0.1),Вводные!$B$16+((Вводные!$B$17+-0.1)-Вводные!$B$16)*MIN(1,5/Вводные!$B$18))*(Вводные!$B$14*(1+-0.1))*(1+Вводные!$B$15)^5*(1+Вводные!$B$19))*(1-Вводные!$B$22-Вводные!$B$27)+(Модель!I17+Модель!I18+Модель!I19+Модель!I21))-MAX(0,((Вводные!$B$8*365*MIN((Вводные!$B$17+-0.1),Вводные!$B$16+((Вводные!$B$17+-0.1)-Вводные!$B$16)*MIN(1,5/Вводные!$B$18))*(Вводные!$B$14*(1+-0.1))*(1+Вводные!$B$15)^5*(1+Вводные!$B$19))*(1-Вводные!$B$22-Вводные!$B$27)+(Модель!I17+Модель!I18+Модель!I19+Модель!I21))+Модель!I32+Модель!I29)*Вводные!$B$39</f>
        <v/>
      </c>
      <c r="J6" s="60">
        <f>((Вводные!$B$8*365*MIN((Вводные!$B$17+-0.1),Вводные!$B$16+((Вводные!$B$17+-0.1)-Вводные!$B$16)*MIN(1,6/Вводные!$B$18))*(Вводные!$B$14*(1+-0.1))*(1+Вводные!$B$15)^6*(1+Вводные!$B$19))*(1-Вводные!$B$22-Вводные!$B$27)+(Модель!J17+Модель!J18+Модель!J19+Модель!J21))-MAX(0,((Вводные!$B$8*365*MIN((Вводные!$B$17+-0.1),Вводные!$B$16+((Вводные!$B$17+-0.1)-Вводные!$B$16)*MIN(1,6/Вводные!$B$18))*(Вводные!$B$14*(1+-0.1))*(1+Вводные!$B$15)^6*(1+Вводные!$B$19))*(1-Вводные!$B$22-Вводные!$B$27)+(Модель!J17+Модель!J18+Модель!J19+Модель!J21))+Модель!J32+Модель!J29)*Вводные!$B$39</f>
        <v/>
      </c>
      <c r="K6" s="60">
        <f>((Вводные!$B$8*365*MIN((Вводные!$B$17+-0.1),Вводные!$B$16+((Вводные!$B$17+-0.1)-Вводные!$B$16)*MIN(1,7/Вводные!$B$18))*(Вводные!$B$14*(1+-0.1))*(1+Вводные!$B$15)^7*(1+Вводные!$B$19))*(1-Вводные!$B$22-Вводные!$B$27)+(Модель!K17+Модель!K18+Модель!K19+Модель!K21))-MAX(0,((Вводные!$B$8*365*MIN((Вводные!$B$17+-0.1),Вводные!$B$16+((Вводные!$B$17+-0.1)-Вводные!$B$16)*MIN(1,7/Вводные!$B$18))*(Вводные!$B$14*(1+-0.1))*(1+Вводные!$B$15)^7*(1+Вводные!$B$19))*(1-Вводные!$B$22-Вводные!$B$27)+(Модель!K17+Модель!K18+Модель!K19+Модель!K21))+Модель!K32+Модель!K29)*Вводные!$B$39</f>
        <v/>
      </c>
      <c r="L6" s="60">
        <f>((Вводные!$B$8*365*MIN((Вводные!$B$17+-0.1),Вводные!$B$16+((Вводные!$B$17+-0.1)-Вводные!$B$16)*MIN(1,8/Вводные!$B$18))*(Вводные!$B$14*(1+-0.1))*(1+Вводные!$B$15)^8*(1+Вводные!$B$19))*(1-Вводные!$B$22-Вводные!$B$27)+(Модель!L17+Модель!L18+Модель!L19+Модель!L21))-MAX(0,((Вводные!$B$8*365*MIN((Вводные!$B$17+-0.1),Вводные!$B$16+((Вводные!$B$17+-0.1)-Вводные!$B$16)*MIN(1,8/Вводные!$B$18))*(Вводные!$B$14*(1+-0.1)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-0.1),Вводные!$B$16+((Вводные!$B$17+-0.1)-Вводные!$B$16)*MIN(1,8/Вводные!$B$18))*(Вводные!$B$14*(1+-0.1))*(1+Вводные!$B$15)^8*(1+Вводные!$B$19))*(1-Вводные!$B$22-Вводные!$B$27)+(Модель!L17+Модель!L18+Модель!L19+Модель!L21))*Вводные!$B$40</f>
        <v/>
      </c>
      <c r="M6" s="51">
        <f>SUMPRODUCT(B6:L6,Модель!$B$42:$L$42)</f>
        <v/>
      </c>
      <c r="N6" s="59">
        <f>IFERROR(IRR(B6:L6),"—")</f>
        <v/>
      </c>
    </row>
    <row r="7">
      <c r="A7" s="48" t="inlineStr">
        <is>
          <t>Загрузка -10% · тариф -5%</t>
        </is>
      </c>
      <c r="B7" s="60">
        <f>Модель!B7</f>
        <v/>
      </c>
      <c r="C7" s="60">
        <f>Модель!C7</f>
        <v/>
      </c>
      <c r="D7" s="60">
        <f>((Вводные!$B$8*365*MIN((Вводные!$B$17+-0.1),Вводные!$B$16+((Вводные!$B$17+-0.1)-Вводные!$B$16)*MIN(1,0/Вводные!$B$18))*(Вводные!$B$14*(1+-0.05))*(1+Вводные!$B$15)^0*(1+Вводные!$B$19))*(1-Вводные!$B$22-Вводные!$B$27)+(Модель!D17+Модель!D18+Модель!D19+Модель!D21))-MAX(0,((Вводные!$B$8*365*MIN((Вводные!$B$17+-0.1),Вводные!$B$16+((Вводные!$B$17+-0.1)-Вводные!$B$16)*MIN(1,0/Вводные!$B$18))*(Вводные!$B$14*(1+-0.05))*(1+Вводные!$B$15)^0*(1+Вводные!$B$19))*(1-Вводные!$B$22-Вводные!$B$27)+(Модель!D17+Модель!D18+Модель!D19+Модель!D21))+Модель!D32+Модель!D29)*Вводные!$B$39</f>
        <v/>
      </c>
      <c r="E7" s="60">
        <f>((Вводные!$B$8*365*MIN((Вводные!$B$17+-0.1),Вводные!$B$16+((Вводные!$B$17+-0.1)-Вводные!$B$16)*MIN(1,1/Вводные!$B$18))*(Вводные!$B$14*(1+-0.05))*(1+Вводные!$B$15)^1*(1+Вводные!$B$19))*(1-Вводные!$B$22-Вводные!$B$27)+(Модель!E17+Модель!E18+Модель!E19+Модель!E21))-MAX(0,((Вводные!$B$8*365*MIN((Вводные!$B$17+-0.1),Вводные!$B$16+((Вводные!$B$17+-0.1)-Вводные!$B$16)*MIN(1,1/Вводные!$B$18))*(Вводные!$B$14*(1+-0.05))*(1+Вводные!$B$15)^1*(1+Вводные!$B$19))*(1-Вводные!$B$22-Вводные!$B$27)+(Модель!E17+Модель!E18+Модель!E19+Модель!E21))+Модель!E32+Модель!E29)*Вводные!$B$39</f>
        <v/>
      </c>
      <c r="F7" s="60">
        <f>((Вводные!$B$8*365*MIN((Вводные!$B$17+-0.1),Вводные!$B$16+((Вводные!$B$17+-0.1)-Вводные!$B$16)*MIN(1,2/Вводные!$B$18))*(Вводные!$B$14*(1+-0.05))*(1+Вводные!$B$15)^2*(1+Вводные!$B$19))*(1-Вводные!$B$22-Вводные!$B$27)+(Модель!F17+Модель!F18+Модель!F19+Модель!F21))-MAX(0,((Вводные!$B$8*365*MIN((Вводные!$B$17+-0.1),Вводные!$B$16+((Вводные!$B$17+-0.1)-Вводные!$B$16)*MIN(1,2/Вводные!$B$18))*(Вводные!$B$14*(1+-0.05))*(1+Вводные!$B$15)^2*(1+Вводные!$B$19))*(1-Вводные!$B$22-Вводные!$B$27)+(Модель!F17+Модель!F18+Модель!F19+Модель!F21))+Модель!F32+Модель!F29)*Вводные!$B$39</f>
        <v/>
      </c>
      <c r="G7" s="60">
        <f>((Вводные!$B$8*365*MIN((Вводные!$B$17+-0.1),Вводные!$B$16+((Вводные!$B$17+-0.1)-Вводные!$B$16)*MIN(1,3/Вводные!$B$18))*(Вводные!$B$14*(1+-0.05))*(1+Вводные!$B$15)^3*(1+Вводные!$B$19))*(1-Вводные!$B$22-Вводные!$B$27)+(Модель!G17+Модель!G18+Модель!G19+Модель!G21))-MAX(0,((Вводные!$B$8*365*MIN((Вводные!$B$17+-0.1),Вводные!$B$16+((Вводные!$B$17+-0.1)-Вводные!$B$16)*MIN(1,3/Вводные!$B$18))*(Вводные!$B$14*(1+-0.05))*(1+Вводные!$B$15)^3*(1+Вводные!$B$19))*(1-Вводные!$B$22-Вводные!$B$27)+(Модель!G17+Модель!G18+Модель!G19+Модель!G21))+Модель!G32+Модель!G29)*Вводные!$B$39</f>
        <v/>
      </c>
      <c r="H7" s="60">
        <f>((Вводные!$B$8*365*MIN((Вводные!$B$17+-0.1),Вводные!$B$16+((Вводные!$B$17+-0.1)-Вводные!$B$16)*MIN(1,4/Вводные!$B$18))*(Вводные!$B$14*(1+-0.05))*(1+Вводные!$B$15)^4*(1+Вводные!$B$19))*(1-Вводные!$B$22-Вводные!$B$27)+(Модель!H17+Модель!H18+Модель!H19+Модель!H21))-MAX(0,((Вводные!$B$8*365*MIN((Вводные!$B$17+-0.1),Вводные!$B$16+((Вводные!$B$17+-0.1)-Вводные!$B$16)*MIN(1,4/Вводные!$B$18))*(Вводные!$B$14*(1+-0.05))*(1+Вводные!$B$15)^4*(1+Вводные!$B$19))*(1-Вводные!$B$22-Вводные!$B$27)+(Модель!H17+Модель!H18+Модель!H19+Модель!H21))+Модель!H32+Модель!H29)*Вводные!$B$39</f>
        <v/>
      </c>
      <c r="I7" s="60">
        <f>((Вводные!$B$8*365*MIN((Вводные!$B$17+-0.1),Вводные!$B$16+((Вводные!$B$17+-0.1)-Вводные!$B$16)*MIN(1,5/Вводные!$B$18))*(Вводные!$B$14*(1+-0.05))*(1+Вводные!$B$15)^5*(1+Вводные!$B$19))*(1-Вводные!$B$22-Вводные!$B$27)+(Модель!I17+Модель!I18+Модель!I19+Модель!I21))-MAX(0,((Вводные!$B$8*365*MIN((Вводные!$B$17+-0.1),Вводные!$B$16+((Вводные!$B$17+-0.1)-Вводные!$B$16)*MIN(1,5/Вводные!$B$18))*(Вводные!$B$14*(1+-0.05))*(1+Вводные!$B$15)^5*(1+Вводные!$B$19))*(1-Вводные!$B$22-Вводные!$B$27)+(Модель!I17+Модель!I18+Модель!I19+Модель!I21))+Модель!I32+Модель!I29)*Вводные!$B$39</f>
        <v/>
      </c>
      <c r="J7" s="60">
        <f>((Вводные!$B$8*365*MIN((Вводные!$B$17+-0.1),Вводные!$B$16+((Вводные!$B$17+-0.1)-Вводные!$B$16)*MIN(1,6/Вводные!$B$18))*(Вводные!$B$14*(1+-0.05))*(1+Вводные!$B$15)^6*(1+Вводные!$B$19))*(1-Вводные!$B$22-Вводные!$B$27)+(Модель!J17+Модель!J18+Модель!J19+Модель!J21))-MAX(0,((Вводные!$B$8*365*MIN((Вводные!$B$17+-0.1),Вводные!$B$16+((Вводные!$B$17+-0.1)-Вводные!$B$16)*MIN(1,6/Вводные!$B$18))*(Вводные!$B$14*(1+-0.05))*(1+Вводные!$B$15)^6*(1+Вводные!$B$19))*(1-Вводные!$B$22-Вводные!$B$27)+(Модель!J17+Модель!J18+Модель!J19+Модель!J21))+Модель!J32+Модель!J29)*Вводные!$B$39</f>
        <v/>
      </c>
      <c r="K7" s="60">
        <f>((Вводные!$B$8*365*MIN((Вводные!$B$17+-0.1),Вводные!$B$16+((Вводные!$B$17+-0.1)-Вводные!$B$16)*MIN(1,7/Вводные!$B$18))*(Вводные!$B$14*(1+-0.05))*(1+Вводные!$B$15)^7*(1+Вводные!$B$19))*(1-Вводные!$B$22-Вводные!$B$27)+(Модель!K17+Модель!K18+Модель!K19+Модель!K21))-MAX(0,((Вводные!$B$8*365*MIN((Вводные!$B$17+-0.1),Вводные!$B$16+((Вводные!$B$17+-0.1)-Вводные!$B$16)*MIN(1,7/Вводные!$B$18))*(Вводные!$B$14*(1+-0.05))*(1+Вводные!$B$15)^7*(1+Вводные!$B$19))*(1-Вводные!$B$22-Вводные!$B$27)+(Модель!K17+Модель!K18+Модель!K19+Модель!K21))+Модель!K32+Модель!K29)*Вводные!$B$39</f>
        <v/>
      </c>
      <c r="L7" s="60">
        <f>((Вводные!$B$8*365*MIN((Вводные!$B$17+-0.1),Вводные!$B$16+((Вводные!$B$17+-0.1)-Вводные!$B$16)*MIN(1,8/Вводные!$B$18))*(Вводные!$B$14*(1+-0.05))*(1+Вводные!$B$15)^8*(1+Вводные!$B$19))*(1-Вводные!$B$22-Вводные!$B$27)+(Модель!L17+Модель!L18+Модель!L19+Модель!L21))-MAX(0,((Вводные!$B$8*365*MIN((Вводные!$B$17+-0.1),Вводные!$B$16+((Вводные!$B$17+-0.1)-Вводные!$B$16)*MIN(1,8/Вводные!$B$18))*(Вводные!$B$14*(1+-0.05)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-0.1),Вводные!$B$16+((Вводные!$B$17+-0.1)-Вводные!$B$16)*MIN(1,8/Вводные!$B$18))*(Вводные!$B$14*(1+-0.05))*(1+Вводные!$B$15)^8*(1+Вводные!$B$19))*(1-Вводные!$B$22-Вводные!$B$27)+(Модель!L17+Модель!L18+Модель!L19+Модель!L21))*Вводные!$B$40</f>
        <v/>
      </c>
      <c r="M7" s="51">
        <f>SUMPRODUCT(B7:L7,Модель!$B$42:$L$42)</f>
        <v/>
      </c>
      <c r="N7" s="59">
        <f>IFERROR(IRR(B7:L7),"—")</f>
        <v/>
      </c>
    </row>
    <row r="8">
      <c r="A8" s="48" t="inlineStr">
        <is>
          <t>Загрузка -10% · тариф +0%</t>
        </is>
      </c>
      <c r="B8" s="60">
        <f>Модель!B7</f>
        <v/>
      </c>
      <c r="C8" s="60">
        <f>Модель!C7</f>
        <v/>
      </c>
      <c r="D8" s="60">
        <f>((Вводные!$B$8*365*MIN((Вводные!$B$17+-0.1),Вводные!$B$16+((Вводные!$B$17+-0.1)-Вводные!$B$16)*MIN(1,0/Вводные!$B$18))*(Вводные!$B$14*(1+0.0))*(1+Вводные!$B$15)^0*(1+Вводные!$B$19))*(1-Вводные!$B$22-Вводные!$B$27)+(Модель!D17+Модель!D18+Модель!D19+Модель!D21))-MAX(0,((Вводные!$B$8*365*MIN((Вводные!$B$17+-0.1),Вводные!$B$16+((Вводные!$B$17+-0.1)-Вводные!$B$16)*MIN(1,0/Вводные!$B$18))*(Вводные!$B$14*(1+0.0))*(1+Вводные!$B$15)^0*(1+Вводные!$B$19))*(1-Вводные!$B$22-Вводные!$B$27)+(Модель!D17+Модель!D18+Модель!D19+Модель!D21))+Модель!D32+Модель!D29)*Вводные!$B$39</f>
        <v/>
      </c>
      <c r="E8" s="60">
        <f>((Вводные!$B$8*365*MIN((Вводные!$B$17+-0.1),Вводные!$B$16+((Вводные!$B$17+-0.1)-Вводные!$B$16)*MIN(1,1/Вводные!$B$18))*(Вводные!$B$14*(1+0.0))*(1+Вводные!$B$15)^1*(1+Вводные!$B$19))*(1-Вводные!$B$22-Вводные!$B$27)+(Модель!E17+Модель!E18+Модель!E19+Модель!E21))-MAX(0,((Вводные!$B$8*365*MIN((Вводные!$B$17+-0.1),Вводные!$B$16+((Вводные!$B$17+-0.1)-Вводные!$B$16)*MIN(1,1/Вводные!$B$18))*(Вводные!$B$14*(1+0.0))*(1+Вводные!$B$15)^1*(1+Вводные!$B$19))*(1-Вводные!$B$22-Вводные!$B$27)+(Модель!E17+Модель!E18+Модель!E19+Модель!E21))+Модель!E32+Модель!E29)*Вводные!$B$39</f>
        <v/>
      </c>
      <c r="F8" s="60">
        <f>((Вводные!$B$8*365*MIN((Вводные!$B$17+-0.1),Вводные!$B$16+((Вводные!$B$17+-0.1)-Вводные!$B$16)*MIN(1,2/Вводные!$B$18))*(Вводные!$B$14*(1+0.0))*(1+Вводные!$B$15)^2*(1+Вводные!$B$19))*(1-Вводные!$B$22-Вводные!$B$27)+(Модель!F17+Модель!F18+Модель!F19+Модель!F21))-MAX(0,((Вводные!$B$8*365*MIN((Вводные!$B$17+-0.1),Вводные!$B$16+((Вводные!$B$17+-0.1)-Вводные!$B$16)*MIN(1,2/Вводные!$B$18))*(Вводные!$B$14*(1+0.0))*(1+Вводные!$B$15)^2*(1+Вводные!$B$19))*(1-Вводные!$B$22-Вводные!$B$27)+(Модель!F17+Модель!F18+Модель!F19+Модель!F21))+Модель!F32+Модель!F29)*Вводные!$B$39</f>
        <v/>
      </c>
      <c r="G8" s="60">
        <f>((Вводные!$B$8*365*MIN((Вводные!$B$17+-0.1),Вводные!$B$16+((Вводные!$B$17+-0.1)-Вводные!$B$16)*MIN(1,3/Вводные!$B$18))*(Вводные!$B$14*(1+0.0))*(1+Вводные!$B$15)^3*(1+Вводные!$B$19))*(1-Вводные!$B$22-Вводные!$B$27)+(Модель!G17+Модель!G18+Модель!G19+Модель!G21))-MAX(0,((Вводные!$B$8*365*MIN((Вводные!$B$17+-0.1),Вводные!$B$16+((Вводные!$B$17+-0.1)-Вводные!$B$16)*MIN(1,3/Вводные!$B$18))*(Вводные!$B$14*(1+0.0))*(1+Вводные!$B$15)^3*(1+Вводные!$B$19))*(1-Вводные!$B$22-Вводные!$B$27)+(Модель!G17+Модель!G18+Модель!G19+Модель!G21))+Модель!G32+Модель!G29)*Вводные!$B$39</f>
        <v/>
      </c>
      <c r="H8" s="60">
        <f>((Вводные!$B$8*365*MIN((Вводные!$B$17+-0.1),Вводные!$B$16+((Вводные!$B$17+-0.1)-Вводные!$B$16)*MIN(1,4/Вводные!$B$18))*(Вводные!$B$14*(1+0.0))*(1+Вводные!$B$15)^4*(1+Вводные!$B$19))*(1-Вводные!$B$22-Вводные!$B$27)+(Модель!H17+Модель!H18+Модель!H19+Модель!H21))-MAX(0,((Вводные!$B$8*365*MIN((Вводные!$B$17+-0.1),Вводные!$B$16+((Вводные!$B$17+-0.1)-Вводные!$B$16)*MIN(1,4/Вводные!$B$18))*(Вводные!$B$14*(1+0.0))*(1+Вводные!$B$15)^4*(1+Вводные!$B$19))*(1-Вводные!$B$22-Вводные!$B$27)+(Модель!H17+Модель!H18+Модель!H19+Модель!H21))+Модель!H32+Модель!H29)*Вводные!$B$39</f>
        <v/>
      </c>
      <c r="I8" s="60">
        <f>((Вводные!$B$8*365*MIN((Вводные!$B$17+-0.1),Вводные!$B$16+((Вводные!$B$17+-0.1)-Вводные!$B$16)*MIN(1,5/Вводные!$B$18))*(Вводные!$B$14*(1+0.0))*(1+Вводные!$B$15)^5*(1+Вводные!$B$19))*(1-Вводные!$B$22-Вводные!$B$27)+(Модель!I17+Модель!I18+Модель!I19+Модель!I21))-MAX(0,((Вводные!$B$8*365*MIN((Вводные!$B$17+-0.1),Вводные!$B$16+((Вводные!$B$17+-0.1)-Вводные!$B$16)*MIN(1,5/Вводные!$B$18))*(Вводные!$B$14*(1+0.0))*(1+Вводные!$B$15)^5*(1+Вводные!$B$19))*(1-Вводные!$B$22-Вводные!$B$27)+(Модель!I17+Модель!I18+Модель!I19+Модель!I21))+Модель!I32+Модель!I29)*Вводные!$B$39</f>
        <v/>
      </c>
      <c r="J8" s="60">
        <f>((Вводные!$B$8*365*MIN((Вводные!$B$17+-0.1),Вводные!$B$16+((Вводные!$B$17+-0.1)-Вводные!$B$16)*MIN(1,6/Вводные!$B$18))*(Вводные!$B$14*(1+0.0))*(1+Вводные!$B$15)^6*(1+Вводные!$B$19))*(1-Вводные!$B$22-Вводные!$B$27)+(Модель!J17+Модель!J18+Модель!J19+Модель!J21))-MAX(0,((Вводные!$B$8*365*MIN((Вводные!$B$17+-0.1),Вводные!$B$16+((Вводные!$B$17+-0.1)-Вводные!$B$16)*MIN(1,6/Вводные!$B$18))*(Вводные!$B$14*(1+0.0))*(1+Вводные!$B$15)^6*(1+Вводные!$B$19))*(1-Вводные!$B$22-Вводные!$B$27)+(Модель!J17+Модель!J18+Модель!J19+Модель!J21))+Модель!J32+Модель!J29)*Вводные!$B$39</f>
        <v/>
      </c>
      <c r="K8" s="60">
        <f>((Вводные!$B$8*365*MIN((Вводные!$B$17+-0.1),Вводные!$B$16+((Вводные!$B$17+-0.1)-Вводные!$B$16)*MIN(1,7/Вводные!$B$18))*(Вводные!$B$14*(1+0.0))*(1+Вводные!$B$15)^7*(1+Вводные!$B$19))*(1-Вводные!$B$22-Вводные!$B$27)+(Модель!K17+Модель!K18+Модель!K19+Модель!K21))-MAX(0,((Вводные!$B$8*365*MIN((Вводные!$B$17+-0.1),Вводные!$B$16+((Вводные!$B$17+-0.1)-Вводные!$B$16)*MIN(1,7/Вводные!$B$18))*(Вводные!$B$14*(1+0.0))*(1+Вводные!$B$15)^7*(1+Вводные!$B$19))*(1-Вводные!$B$22-Вводные!$B$27)+(Модель!K17+Модель!K18+Модель!K19+Модель!K21))+Модель!K32+Модель!K29)*Вводные!$B$39</f>
        <v/>
      </c>
      <c r="L8" s="60">
        <f>((Вводные!$B$8*365*MIN((Вводные!$B$17+-0.1),Вводные!$B$16+((Вводные!$B$17+-0.1)-Вводные!$B$16)*MIN(1,8/Вводные!$B$18))*(Вводные!$B$14*(1+0.0))*(1+Вводные!$B$15)^8*(1+Вводные!$B$19))*(1-Вводные!$B$22-Вводные!$B$27)+(Модель!L17+Модель!L18+Модель!L19+Модель!L21))-MAX(0,((Вводные!$B$8*365*MIN((Вводные!$B$17+-0.1),Вводные!$B$16+((Вводные!$B$17+-0.1)-Вводные!$B$16)*MIN(1,8/Вводные!$B$18))*(Вводные!$B$14*(1+0.0)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-0.1),Вводные!$B$16+((Вводные!$B$17+-0.1)-Вводные!$B$16)*MIN(1,8/Вводные!$B$18))*(Вводные!$B$14*(1+0.0))*(1+Вводные!$B$15)^8*(1+Вводные!$B$19))*(1-Вводные!$B$22-Вводные!$B$27)+(Модель!L17+Модель!L18+Модель!L19+Модель!L21))*Вводные!$B$40</f>
        <v/>
      </c>
      <c r="M8" s="51">
        <f>SUMPRODUCT(B8:L8,Модель!$B$42:$L$42)</f>
        <v/>
      </c>
      <c r="N8" s="59">
        <f>IFERROR(IRR(B8:L8),"—")</f>
        <v/>
      </c>
    </row>
    <row r="9">
      <c r="A9" s="48" t="inlineStr">
        <is>
          <t>Загрузка -10% · тариф +5%</t>
        </is>
      </c>
      <c r="B9" s="60">
        <f>Модель!B7</f>
        <v/>
      </c>
      <c r="C9" s="60">
        <f>Модель!C7</f>
        <v/>
      </c>
      <c r="D9" s="60">
        <f>((Вводные!$B$8*365*MIN((Вводные!$B$17+-0.1),Вводные!$B$16+((Вводные!$B$17+-0.1)-Вводные!$B$16)*MIN(1,0/Вводные!$B$18))*(Вводные!$B$14*(1+0.05))*(1+Вводные!$B$15)^0*(1+Вводные!$B$19))*(1-Вводные!$B$22-Вводные!$B$27)+(Модель!D17+Модель!D18+Модель!D19+Модель!D21))-MAX(0,((Вводные!$B$8*365*MIN((Вводные!$B$17+-0.1),Вводные!$B$16+((Вводные!$B$17+-0.1)-Вводные!$B$16)*MIN(1,0/Вводные!$B$18))*(Вводные!$B$14*(1+0.05))*(1+Вводные!$B$15)^0*(1+Вводные!$B$19))*(1-Вводные!$B$22-Вводные!$B$27)+(Модель!D17+Модель!D18+Модель!D19+Модель!D21))+Модель!D32+Модель!D29)*Вводные!$B$39</f>
        <v/>
      </c>
      <c r="E9" s="60">
        <f>((Вводные!$B$8*365*MIN((Вводные!$B$17+-0.1),Вводные!$B$16+((Вводные!$B$17+-0.1)-Вводные!$B$16)*MIN(1,1/Вводные!$B$18))*(Вводные!$B$14*(1+0.05))*(1+Вводные!$B$15)^1*(1+Вводные!$B$19))*(1-Вводные!$B$22-Вводные!$B$27)+(Модель!E17+Модель!E18+Модель!E19+Модель!E21))-MAX(0,((Вводные!$B$8*365*MIN((Вводные!$B$17+-0.1),Вводные!$B$16+((Вводные!$B$17+-0.1)-Вводные!$B$16)*MIN(1,1/Вводные!$B$18))*(Вводные!$B$14*(1+0.05))*(1+Вводные!$B$15)^1*(1+Вводные!$B$19))*(1-Вводные!$B$22-Вводные!$B$27)+(Модель!E17+Модель!E18+Модель!E19+Модель!E21))+Модель!E32+Модель!E29)*Вводные!$B$39</f>
        <v/>
      </c>
      <c r="F9" s="60">
        <f>((Вводные!$B$8*365*MIN((Вводные!$B$17+-0.1),Вводные!$B$16+((Вводные!$B$17+-0.1)-Вводные!$B$16)*MIN(1,2/Вводные!$B$18))*(Вводные!$B$14*(1+0.05))*(1+Вводные!$B$15)^2*(1+Вводные!$B$19))*(1-Вводные!$B$22-Вводные!$B$27)+(Модель!F17+Модель!F18+Модель!F19+Модель!F21))-MAX(0,((Вводные!$B$8*365*MIN((Вводные!$B$17+-0.1),Вводные!$B$16+((Вводные!$B$17+-0.1)-Вводные!$B$16)*MIN(1,2/Вводные!$B$18))*(Вводные!$B$14*(1+0.05))*(1+Вводные!$B$15)^2*(1+Вводные!$B$19))*(1-Вводные!$B$22-Вводные!$B$27)+(Модель!F17+Модель!F18+Модель!F19+Модель!F21))+Модель!F32+Модель!F29)*Вводные!$B$39</f>
        <v/>
      </c>
      <c r="G9" s="60">
        <f>((Вводные!$B$8*365*MIN((Вводные!$B$17+-0.1),Вводные!$B$16+((Вводные!$B$17+-0.1)-Вводные!$B$16)*MIN(1,3/Вводные!$B$18))*(Вводные!$B$14*(1+0.05))*(1+Вводные!$B$15)^3*(1+Вводные!$B$19))*(1-Вводные!$B$22-Вводные!$B$27)+(Модель!G17+Модель!G18+Модель!G19+Модель!G21))-MAX(0,((Вводные!$B$8*365*MIN((Вводные!$B$17+-0.1),Вводные!$B$16+((Вводные!$B$17+-0.1)-Вводные!$B$16)*MIN(1,3/Вводные!$B$18))*(Вводные!$B$14*(1+0.05))*(1+Вводные!$B$15)^3*(1+Вводные!$B$19))*(1-Вводные!$B$22-Вводные!$B$27)+(Модель!G17+Модель!G18+Модель!G19+Модель!G21))+Модель!G32+Модель!G29)*Вводные!$B$39</f>
        <v/>
      </c>
      <c r="H9" s="60">
        <f>((Вводные!$B$8*365*MIN((Вводные!$B$17+-0.1),Вводные!$B$16+((Вводные!$B$17+-0.1)-Вводные!$B$16)*MIN(1,4/Вводные!$B$18))*(Вводные!$B$14*(1+0.05))*(1+Вводные!$B$15)^4*(1+Вводные!$B$19))*(1-Вводные!$B$22-Вводные!$B$27)+(Модель!H17+Модель!H18+Модель!H19+Модель!H21))-MAX(0,((Вводные!$B$8*365*MIN((Вводные!$B$17+-0.1),Вводные!$B$16+((Вводные!$B$17+-0.1)-Вводные!$B$16)*MIN(1,4/Вводные!$B$18))*(Вводные!$B$14*(1+0.05))*(1+Вводные!$B$15)^4*(1+Вводные!$B$19))*(1-Вводные!$B$22-Вводные!$B$27)+(Модель!H17+Модель!H18+Модель!H19+Модель!H21))+Модель!H32+Модель!H29)*Вводные!$B$39</f>
        <v/>
      </c>
      <c r="I9" s="60">
        <f>((Вводные!$B$8*365*MIN((Вводные!$B$17+-0.1),Вводные!$B$16+((Вводные!$B$17+-0.1)-Вводные!$B$16)*MIN(1,5/Вводные!$B$18))*(Вводные!$B$14*(1+0.05))*(1+Вводные!$B$15)^5*(1+Вводные!$B$19))*(1-Вводные!$B$22-Вводные!$B$27)+(Модель!I17+Модель!I18+Модель!I19+Модель!I21))-MAX(0,((Вводные!$B$8*365*MIN((Вводные!$B$17+-0.1),Вводные!$B$16+((Вводные!$B$17+-0.1)-Вводные!$B$16)*MIN(1,5/Вводные!$B$18))*(Вводные!$B$14*(1+0.05))*(1+Вводные!$B$15)^5*(1+Вводные!$B$19))*(1-Вводные!$B$22-Вводные!$B$27)+(Модель!I17+Модель!I18+Модель!I19+Модель!I21))+Модель!I32+Модель!I29)*Вводные!$B$39</f>
        <v/>
      </c>
      <c r="J9" s="60">
        <f>((Вводные!$B$8*365*MIN((Вводные!$B$17+-0.1),Вводные!$B$16+((Вводные!$B$17+-0.1)-Вводные!$B$16)*MIN(1,6/Вводные!$B$18))*(Вводные!$B$14*(1+0.05))*(1+Вводные!$B$15)^6*(1+Вводные!$B$19))*(1-Вводные!$B$22-Вводные!$B$27)+(Модель!J17+Модель!J18+Модель!J19+Модель!J21))-MAX(0,((Вводные!$B$8*365*MIN((Вводные!$B$17+-0.1),Вводные!$B$16+((Вводные!$B$17+-0.1)-Вводные!$B$16)*MIN(1,6/Вводные!$B$18))*(Вводные!$B$14*(1+0.05))*(1+Вводные!$B$15)^6*(1+Вводные!$B$19))*(1-Вводные!$B$22-Вводные!$B$27)+(Модель!J17+Модель!J18+Модель!J19+Модель!J21))+Модель!J32+Модель!J29)*Вводные!$B$39</f>
        <v/>
      </c>
      <c r="K9" s="60">
        <f>((Вводные!$B$8*365*MIN((Вводные!$B$17+-0.1),Вводные!$B$16+((Вводные!$B$17+-0.1)-Вводные!$B$16)*MIN(1,7/Вводные!$B$18))*(Вводные!$B$14*(1+0.05))*(1+Вводные!$B$15)^7*(1+Вводные!$B$19))*(1-Вводные!$B$22-Вводные!$B$27)+(Модель!K17+Модель!K18+Модель!K19+Модель!K21))-MAX(0,((Вводные!$B$8*365*MIN((Вводные!$B$17+-0.1),Вводные!$B$16+((Вводные!$B$17+-0.1)-Вводные!$B$16)*MIN(1,7/Вводные!$B$18))*(Вводные!$B$14*(1+0.05))*(1+Вводные!$B$15)^7*(1+Вводные!$B$19))*(1-Вводные!$B$22-Вводные!$B$27)+(Модель!K17+Модель!K18+Модель!K19+Модель!K21))+Модель!K32+Модель!K29)*Вводные!$B$39</f>
        <v/>
      </c>
      <c r="L9" s="60">
        <f>((Вводные!$B$8*365*MIN((Вводные!$B$17+-0.1),Вводные!$B$16+((Вводные!$B$17+-0.1)-Вводные!$B$16)*MIN(1,8/Вводные!$B$18))*(Вводные!$B$14*(1+0.05))*(1+Вводные!$B$15)^8*(1+Вводные!$B$19))*(1-Вводные!$B$22-Вводные!$B$27)+(Модель!L17+Модель!L18+Модель!L19+Модель!L21))-MAX(0,((Вводные!$B$8*365*MIN((Вводные!$B$17+-0.1),Вводные!$B$16+((Вводные!$B$17+-0.1)-Вводные!$B$16)*MIN(1,8/Вводные!$B$18))*(Вводные!$B$14*(1+0.05)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-0.1),Вводные!$B$16+((Вводные!$B$17+-0.1)-Вводные!$B$16)*MIN(1,8/Вводные!$B$18))*(Вводные!$B$14*(1+0.05))*(1+Вводные!$B$15)^8*(1+Вводные!$B$19))*(1-Вводные!$B$22-Вводные!$B$27)+(Модель!L17+Модель!L18+Модель!L19+Модель!L21))*Вводные!$B$40</f>
        <v/>
      </c>
      <c r="M9" s="51">
        <f>SUMPRODUCT(B9:L9,Модель!$B$42:$L$42)</f>
        <v/>
      </c>
      <c r="N9" s="59">
        <f>IFERROR(IRR(B9:L9),"—")</f>
        <v/>
      </c>
    </row>
    <row r="10">
      <c r="A10" s="48" t="inlineStr">
        <is>
          <t>Загрузка -10% · тариф +10%</t>
        </is>
      </c>
      <c r="B10" s="60">
        <f>Модель!B7</f>
        <v/>
      </c>
      <c r="C10" s="60">
        <f>Модель!C7</f>
        <v/>
      </c>
      <c r="D10" s="60">
        <f>((Вводные!$B$8*365*MIN((Вводные!$B$17+-0.1),Вводные!$B$16+((Вводные!$B$17+-0.1)-Вводные!$B$16)*MIN(1,0/Вводные!$B$18))*(Вводные!$B$14*(1+0.1))*(1+Вводные!$B$15)^0*(1+Вводные!$B$19))*(1-Вводные!$B$22-Вводные!$B$27)+(Модель!D17+Модель!D18+Модель!D19+Модель!D21))-MAX(0,((Вводные!$B$8*365*MIN((Вводные!$B$17+-0.1),Вводные!$B$16+((Вводные!$B$17+-0.1)-Вводные!$B$16)*MIN(1,0/Вводные!$B$18))*(Вводные!$B$14*(1+0.1))*(1+Вводные!$B$15)^0*(1+Вводные!$B$19))*(1-Вводные!$B$22-Вводные!$B$27)+(Модель!D17+Модель!D18+Модель!D19+Модель!D21))+Модель!D32+Модель!D29)*Вводные!$B$39</f>
        <v/>
      </c>
      <c r="E10" s="60">
        <f>((Вводные!$B$8*365*MIN((Вводные!$B$17+-0.1),Вводные!$B$16+((Вводные!$B$17+-0.1)-Вводные!$B$16)*MIN(1,1/Вводные!$B$18))*(Вводные!$B$14*(1+0.1))*(1+Вводные!$B$15)^1*(1+Вводные!$B$19))*(1-Вводные!$B$22-Вводные!$B$27)+(Модель!E17+Модель!E18+Модель!E19+Модель!E21))-MAX(0,((Вводные!$B$8*365*MIN((Вводные!$B$17+-0.1),Вводные!$B$16+((Вводные!$B$17+-0.1)-Вводные!$B$16)*MIN(1,1/Вводные!$B$18))*(Вводные!$B$14*(1+0.1))*(1+Вводные!$B$15)^1*(1+Вводные!$B$19))*(1-Вводные!$B$22-Вводные!$B$27)+(Модель!E17+Модель!E18+Модель!E19+Модель!E21))+Модель!E32+Модель!E29)*Вводные!$B$39</f>
        <v/>
      </c>
      <c r="F10" s="60">
        <f>((Вводные!$B$8*365*MIN((Вводные!$B$17+-0.1),Вводные!$B$16+((Вводные!$B$17+-0.1)-Вводные!$B$16)*MIN(1,2/Вводные!$B$18))*(Вводные!$B$14*(1+0.1))*(1+Вводные!$B$15)^2*(1+Вводные!$B$19))*(1-Вводные!$B$22-Вводные!$B$27)+(Модель!F17+Модель!F18+Модель!F19+Модель!F21))-MAX(0,((Вводные!$B$8*365*MIN((Вводные!$B$17+-0.1),Вводные!$B$16+((Вводные!$B$17+-0.1)-Вводные!$B$16)*MIN(1,2/Вводные!$B$18))*(Вводные!$B$14*(1+0.1))*(1+Вводные!$B$15)^2*(1+Вводные!$B$19))*(1-Вводные!$B$22-Вводные!$B$27)+(Модель!F17+Модель!F18+Модель!F19+Модель!F21))+Модель!F32+Модель!F29)*Вводные!$B$39</f>
        <v/>
      </c>
      <c r="G10" s="60">
        <f>((Вводные!$B$8*365*MIN((Вводные!$B$17+-0.1),Вводные!$B$16+((Вводные!$B$17+-0.1)-Вводные!$B$16)*MIN(1,3/Вводные!$B$18))*(Вводные!$B$14*(1+0.1))*(1+Вводные!$B$15)^3*(1+Вводные!$B$19))*(1-Вводные!$B$22-Вводные!$B$27)+(Модель!G17+Модель!G18+Модель!G19+Модель!G21))-MAX(0,((Вводные!$B$8*365*MIN((Вводные!$B$17+-0.1),Вводные!$B$16+((Вводные!$B$17+-0.1)-Вводные!$B$16)*MIN(1,3/Вводные!$B$18))*(Вводные!$B$14*(1+0.1))*(1+Вводные!$B$15)^3*(1+Вводные!$B$19))*(1-Вводные!$B$22-Вводные!$B$27)+(Модель!G17+Модель!G18+Модель!G19+Модель!G21))+Модель!G32+Модель!G29)*Вводные!$B$39</f>
        <v/>
      </c>
      <c r="H10" s="60">
        <f>((Вводные!$B$8*365*MIN((Вводные!$B$17+-0.1),Вводные!$B$16+((Вводные!$B$17+-0.1)-Вводные!$B$16)*MIN(1,4/Вводные!$B$18))*(Вводные!$B$14*(1+0.1))*(1+Вводные!$B$15)^4*(1+Вводные!$B$19))*(1-Вводные!$B$22-Вводные!$B$27)+(Модель!H17+Модель!H18+Модель!H19+Модель!H21))-MAX(0,((Вводные!$B$8*365*MIN((Вводные!$B$17+-0.1),Вводные!$B$16+((Вводные!$B$17+-0.1)-Вводные!$B$16)*MIN(1,4/Вводные!$B$18))*(Вводные!$B$14*(1+0.1))*(1+Вводные!$B$15)^4*(1+Вводные!$B$19))*(1-Вводные!$B$22-Вводные!$B$27)+(Модель!H17+Модель!H18+Модель!H19+Модель!H21))+Модель!H32+Модель!H29)*Вводные!$B$39</f>
        <v/>
      </c>
      <c r="I10" s="60">
        <f>((Вводные!$B$8*365*MIN((Вводные!$B$17+-0.1),Вводные!$B$16+((Вводные!$B$17+-0.1)-Вводные!$B$16)*MIN(1,5/Вводные!$B$18))*(Вводные!$B$14*(1+0.1))*(1+Вводные!$B$15)^5*(1+Вводные!$B$19))*(1-Вводные!$B$22-Вводные!$B$27)+(Модель!I17+Модель!I18+Модель!I19+Модель!I21))-MAX(0,((Вводные!$B$8*365*MIN((Вводные!$B$17+-0.1),Вводные!$B$16+((Вводные!$B$17+-0.1)-Вводные!$B$16)*MIN(1,5/Вводные!$B$18))*(Вводные!$B$14*(1+0.1))*(1+Вводные!$B$15)^5*(1+Вводные!$B$19))*(1-Вводные!$B$22-Вводные!$B$27)+(Модель!I17+Модель!I18+Модель!I19+Модель!I21))+Модель!I32+Модель!I29)*Вводные!$B$39</f>
        <v/>
      </c>
      <c r="J10" s="60">
        <f>((Вводные!$B$8*365*MIN((Вводные!$B$17+-0.1),Вводные!$B$16+((Вводные!$B$17+-0.1)-Вводные!$B$16)*MIN(1,6/Вводные!$B$18))*(Вводные!$B$14*(1+0.1))*(1+Вводные!$B$15)^6*(1+Вводные!$B$19))*(1-Вводные!$B$22-Вводные!$B$27)+(Модель!J17+Модель!J18+Модель!J19+Модель!J21))-MAX(0,((Вводные!$B$8*365*MIN((Вводные!$B$17+-0.1),Вводные!$B$16+((Вводные!$B$17+-0.1)-Вводные!$B$16)*MIN(1,6/Вводные!$B$18))*(Вводные!$B$14*(1+0.1))*(1+Вводные!$B$15)^6*(1+Вводные!$B$19))*(1-Вводные!$B$22-Вводные!$B$27)+(Модель!J17+Модель!J18+Модель!J19+Модель!J21))+Модель!J32+Модель!J29)*Вводные!$B$39</f>
        <v/>
      </c>
      <c r="K10" s="60">
        <f>((Вводные!$B$8*365*MIN((Вводные!$B$17+-0.1),Вводные!$B$16+((Вводные!$B$17+-0.1)-Вводные!$B$16)*MIN(1,7/Вводные!$B$18))*(Вводные!$B$14*(1+0.1))*(1+Вводные!$B$15)^7*(1+Вводные!$B$19))*(1-Вводные!$B$22-Вводные!$B$27)+(Модель!K17+Модель!K18+Модель!K19+Модель!K21))-MAX(0,((Вводные!$B$8*365*MIN((Вводные!$B$17+-0.1),Вводные!$B$16+((Вводные!$B$17+-0.1)-Вводные!$B$16)*MIN(1,7/Вводные!$B$18))*(Вводные!$B$14*(1+0.1))*(1+Вводные!$B$15)^7*(1+Вводные!$B$19))*(1-Вводные!$B$22-Вводные!$B$27)+(Модель!K17+Модель!K18+Модель!K19+Модель!K21))+Модель!K32+Модель!K29)*Вводные!$B$39</f>
        <v/>
      </c>
      <c r="L10" s="60">
        <f>((Вводные!$B$8*365*MIN((Вводные!$B$17+-0.1),Вводные!$B$16+((Вводные!$B$17+-0.1)-Вводные!$B$16)*MIN(1,8/Вводные!$B$18))*(Вводные!$B$14*(1+0.1))*(1+Вводные!$B$15)^8*(1+Вводные!$B$19))*(1-Вводные!$B$22-Вводные!$B$27)+(Модель!L17+Модель!L18+Модель!L19+Модель!L21))-MAX(0,((Вводные!$B$8*365*MIN((Вводные!$B$17+-0.1),Вводные!$B$16+((Вводные!$B$17+-0.1)-Вводные!$B$16)*MIN(1,8/Вводные!$B$18))*(Вводные!$B$14*(1+0.1)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-0.1),Вводные!$B$16+((Вводные!$B$17+-0.1)-Вводные!$B$16)*MIN(1,8/Вводные!$B$18))*(Вводные!$B$14*(1+0.1))*(1+Вводные!$B$15)^8*(1+Вводные!$B$19))*(1-Вводные!$B$22-Вводные!$B$27)+(Модель!L17+Модель!L18+Модель!L19+Модель!L21))*Вводные!$B$40</f>
        <v/>
      </c>
      <c r="M10" s="51">
        <f>SUMPRODUCT(B10:L10,Модель!$B$42:$L$42)</f>
        <v/>
      </c>
      <c r="N10" s="59">
        <f>IFERROR(IRR(B10:L10),"—")</f>
        <v/>
      </c>
    </row>
    <row r="11">
      <c r="A11" s="48" t="inlineStr">
        <is>
          <t>Загрузка -5% · тариф -10%</t>
        </is>
      </c>
      <c r="B11" s="60">
        <f>Модель!B7</f>
        <v/>
      </c>
      <c r="C11" s="60">
        <f>Модель!C7</f>
        <v/>
      </c>
      <c r="D11" s="60">
        <f>((Вводные!$B$8*365*MIN((Вводные!$B$17+-0.05),Вводные!$B$16+((Вводные!$B$17+-0.05)-Вводные!$B$16)*MIN(1,0/Вводные!$B$18))*(Вводные!$B$14*(1+-0.1))*(1+Вводные!$B$15)^0*(1+Вводные!$B$19))*(1-Вводные!$B$22-Вводные!$B$27)+(Модель!D17+Модель!D18+Модель!D19+Модель!D21))-MAX(0,((Вводные!$B$8*365*MIN((Вводные!$B$17+-0.05),Вводные!$B$16+((Вводные!$B$17+-0.05)-Вводные!$B$16)*MIN(1,0/Вводные!$B$18))*(Вводные!$B$14*(1+-0.1))*(1+Вводные!$B$15)^0*(1+Вводные!$B$19))*(1-Вводные!$B$22-Вводные!$B$27)+(Модель!D17+Модель!D18+Модель!D19+Модель!D21))+Модель!D32+Модель!D29)*Вводные!$B$39</f>
        <v/>
      </c>
      <c r="E11" s="60">
        <f>((Вводные!$B$8*365*MIN((Вводные!$B$17+-0.05),Вводные!$B$16+((Вводные!$B$17+-0.05)-Вводные!$B$16)*MIN(1,1/Вводные!$B$18))*(Вводные!$B$14*(1+-0.1))*(1+Вводные!$B$15)^1*(1+Вводные!$B$19))*(1-Вводные!$B$22-Вводные!$B$27)+(Модель!E17+Модель!E18+Модель!E19+Модель!E21))-MAX(0,((Вводные!$B$8*365*MIN((Вводные!$B$17+-0.05),Вводные!$B$16+((Вводные!$B$17+-0.05)-Вводные!$B$16)*MIN(1,1/Вводные!$B$18))*(Вводные!$B$14*(1+-0.1))*(1+Вводные!$B$15)^1*(1+Вводные!$B$19))*(1-Вводные!$B$22-Вводные!$B$27)+(Модель!E17+Модель!E18+Модель!E19+Модель!E21))+Модель!E32+Модель!E29)*Вводные!$B$39</f>
        <v/>
      </c>
      <c r="F11" s="60">
        <f>((Вводные!$B$8*365*MIN((Вводные!$B$17+-0.05),Вводные!$B$16+((Вводные!$B$17+-0.05)-Вводные!$B$16)*MIN(1,2/Вводные!$B$18))*(Вводные!$B$14*(1+-0.1))*(1+Вводные!$B$15)^2*(1+Вводные!$B$19))*(1-Вводные!$B$22-Вводные!$B$27)+(Модель!F17+Модель!F18+Модель!F19+Модель!F21))-MAX(0,((Вводные!$B$8*365*MIN((Вводные!$B$17+-0.05),Вводные!$B$16+((Вводные!$B$17+-0.05)-Вводные!$B$16)*MIN(1,2/Вводные!$B$18))*(Вводные!$B$14*(1+-0.1))*(1+Вводные!$B$15)^2*(1+Вводные!$B$19))*(1-Вводные!$B$22-Вводные!$B$27)+(Модель!F17+Модель!F18+Модель!F19+Модель!F21))+Модель!F32+Модель!F29)*Вводные!$B$39</f>
        <v/>
      </c>
      <c r="G11" s="60">
        <f>((Вводные!$B$8*365*MIN((Вводные!$B$17+-0.05),Вводные!$B$16+((Вводные!$B$17+-0.05)-Вводные!$B$16)*MIN(1,3/Вводные!$B$18))*(Вводные!$B$14*(1+-0.1))*(1+Вводные!$B$15)^3*(1+Вводные!$B$19))*(1-Вводные!$B$22-Вводные!$B$27)+(Модель!G17+Модель!G18+Модель!G19+Модель!G21))-MAX(0,((Вводные!$B$8*365*MIN((Вводные!$B$17+-0.05),Вводные!$B$16+((Вводные!$B$17+-0.05)-Вводные!$B$16)*MIN(1,3/Вводные!$B$18))*(Вводные!$B$14*(1+-0.1))*(1+Вводные!$B$15)^3*(1+Вводные!$B$19))*(1-Вводные!$B$22-Вводные!$B$27)+(Модель!G17+Модель!G18+Модель!G19+Модель!G21))+Модель!G32+Модель!G29)*Вводные!$B$39</f>
        <v/>
      </c>
      <c r="H11" s="60">
        <f>((Вводные!$B$8*365*MIN((Вводные!$B$17+-0.05),Вводные!$B$16+((Вводные!$B$17+-0.05)-Вводные!$B$16)*MIN(1,4/Вводные!$B$18))*(Вводные!$B$14*(1+-0.1))*(1+Вводные!$B$15)^4*(1+Вводные!$B$19))*(1-Вводные!$B$22-Вводные!$B$27)+(Модель!H17+Модель!H18+Модель!H19+Модель!H21))-MAX(0,((Вводные!$B$8*365*MIN((Вводные!$B$17+-0.05),Вводные!$B$16+((Вводные!$B$17+-0.05)-Вводные!$B$16)*MIN(1,4/Вводные!$B$18))*(Вводные!$B$14*(1+-0.1))*(1+Вводные!$B$15)^4*(1+Вводные!$B$19))*(1-Вводные!$B$22-Вводные!$B$27)+(Модель!H17+Модель!H18+Модель!H19+Модель!H21))+Модель!H32+Модель!H29)*Вводные!$B$39</f>
        <v/>
      </c>
      <c r="I11" s="60">
        <f>((Вводные!$B$8*365*MIN((Вводные!$B$17+-0.05),Вводные!$B$16+((Вводные!$B$17+-0.05)-Вводные!$B$16)*MIN(1,5/Вводные!$B$18))*(Вводные!$B$14*(1+-0.1))*(1+Вводные!$B$15)^5*(1+Вводные!$B$19))*(1-Вводные!$B$22-Вводные!$B$27)+(Модель!I17+Модель!I18+Модель!I19+Модель!I21))-MAX(0,((Вводные!$B$8*365*MIN((Вводные!$B$17+-0.05),Вводные!$B$16+((Вводные!$B$17+-0.05)-Вводные!$B$16)*MIN(1,5/Вводные!$B$18))*(Вводные!$B$14*(1+-0.1))*(1+Вводные!$B$15)^5*(1+Вводные!$B$19))*(1-Вводные!$B$22-Вводные!$B$27)+(Модель!I17+Модель!I18+Модель!I19+Модель!I21))+Модель!I32+Модель!I29)*Вводные!$B$39</f>
        <v/>
      </c>
      <c r="J11" s="60">
        <f>((Вводные!$B$8*365*MIN((Вводные!$B$17+-0.05),Вводные!$B$16+((Вводные!$B$17+-0.05)-Вводные!$B$16)*MIN(1,6/Вводные!$B$18))*(Вводные!$B$14*(1+-0.1))*(1+Вводные!$B$15)^6*(1+Вводные!$B$19))*(1-Вводные!$B$22-Вводные!$B$27)+(Модель!J17+Модель!J18+Модель!J19+Модель!J21))-MAX(0,((Вводные!$B$8*365*MIN((Вводные!$B$17+-0.05),Вводные!$B$16+((Вводные!$B$17+-0.05)-Вводные!$B$16)*MIN(1,6/Вводные!$B$18))*(Вводные!$B$14*(1+-0.1))*(1+Вводные!$B$15)^6*(1+Вводные!$B$19))*(1-Вводные!$B$22-Вводные!$B$27)+(Модель!J17+Модель!J18+Модель!J19+Модель!J21))+Модель!J32+Модель!J29)*Вводные!$B$39</f>
        <v/>
      </c>
      <c r="K11" s="60">
        <f>((Вводные!$B$8*365*MIN((Вводные!$B$17+-0.05),Вводные!$B$16+((Вводные!$B$17+-0.05)-Вводные!$B$16)*MIN(1,7/Вводные!$B$18))*(Вводные!$B$14*(1+-0.1))*(1+Вводные!$B$15)^7*(1+Вводные!$B$19))*(1-Вводные!$B$22-Вводные!$B$27)+(Модель!K17+Модель!K18+Модель!K19+Модель!K21))-MAX(0,((Вводные!$B$8*365*MIN((Вводные!$B$17+-0.05),Вводные!$B$16+((Вводные!$B$17+-0.05)-Вводные!$B$16)*MIN(1,7/Вводные!$B$18))*(Вводные!$B$14*(1+-0.1))*(1+Вводные!$B$15)^7*(1+Вводные!$B$19))*(1-Вводные!$B$22-Вводные!$B$27)+(Модель!K17+Модель!K18+Модель!K19+Модель!K21))+Модель!K32+Модель!K29)*Вводные!$B$39</f>
        <v/>
      </c>
      <c r="L11" s="60">
        <f>((Вводные!$B$8*365*MIN((Вводные!$B$17+-0.05),Вводные!$B$16+((Вводные!$B$17+-0.05)-Вводные!$B$16)*MIN(1,8/Вводные!$B$18))*(Вводные!$B$14*(1+-0.1))*(1+Вводные!$B$15)^8*(1+Вводные!$B$19))*(1-Вводные!$B$22-Вводные!$B$27)+(Модель!L17+Модель!L18+Модель!L19+Модель!L21))-MAX(0,((Вводные!$B$8*365*MIN((Вводные!$B$17+-0.05),Вводные!$B$16+((Вводные!$B$17+-0.05)-Вводные!$B$16)*MIN(1,8/Вводные!$B$18))*(Вводные!$B$14*(1+-0.1)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-0.05),Вводные!$B$16+((Вводные!$B$17+-0.05)-Вводные!$B$16)*MIN(1,8/Вводные!$B$18))*(Вводные!$B$14*(1+-0.1))*(1+Вводные!$B$15)^8*(1+Вводные!$B$19))*(1-Вводные!$B$22-Вводные!$B$27)+(Модель!L17+Модель!L18+Модель!L19+Модель!L21))*Вводные!$B$40</f>
        <v/>
      </c>
      <c r="M11" s="51">
        <f>SUMPRODUCT(B11:L11,Модель!$B$42:$L$42)</f>
        <v/>
      </c>
      <c r="N11" s="59">
        <f>IFERROR(IRR(B11:L11),"—")</f>
        <v/>
      </c>
    </row>
    <row r="12">
      <c r="A12" s="48" t="inlineStr">
        <is>
          <t>Загрузка -5% · тариф -5%</t>
        </is>
      </c>
      <c r="B12" s="60">
        <f>Модель!B7</f>
        <v/>
      </c>
      <c r="C12" s="60">
        <f>Модель!C7</f>
        <v/>
      </c>
      <c r="D12" s="60">
        <f>((Вводные!$B$8*365*MIN((Вводные!$B$17+-0.05),Вводные!$B$16+((Вводные!$B$17+-0.05)-Вводные!$B$16)*MIN(1,0/Вводные!$B$18))*(Вводные!$B$14*(1+-0.05))*(1+Вводные!$B$15)^0*(1+Вводные!$B$19))*(1-Вводные!$B$22-Вводные!$B$27)+(Модель!D17+Модель!D18+Модель!D19+Модель!D21))-MAX(0,((Вводные!$B$8*365*MIN((Вводные!$B$17+-0.05),Вводные!$B$16+((Вводные!$B$17+-0.05)-Вводные!$B$16)*MIN(1,0/Вводные!$B$18))*(Вводные!$B$14*(1+-0.05))*(1+Вводные!$B$15)^0*(1+Вводные!$B$19))*(1-Вводные!$B$22-Вводные!$B$27)+(Модель!D17+Модель!D18+Модель!D19+Модель!D21))+Модель!D32+Модель!D29)*Вводные!$B$39</f>
        <v/>
      </c>
      <c r="E12" s="60">
        <f>((Вводные!$B$8*365*MIN((Вводные!$B$17+-0.05),Вводные!$B$16+((Вводные!$B$17+-0.05)-Вводные!$B$16)*MIN(1,1/Вводные!$B$18))*(Вводные!$B$14*(1+-0.05))*(1+Вводные!$B$15)^1*(1+Вводные!$B$19))*(1-Вводные!$B$22-Вводные!$B$27)+(Модель!E17+Модель!E18+Модель!E19+Модель!E21))-MAX(0,((Вводные!$B$8*365*MIN((Вводные!$B$17+-0.05),Вводные!$B$16+((Вводные!$B$17+-0.05)-Вводные!$B$16)*MIN(1,1/Вводные!$B$18))*(Вводные!$B$14*(1+-0.05))*(1+Вводные!$B$15)^1*(1+Вводные!$B$19))*(1-Вводные!$B$22-Вводные!$B$27)+(Модель!E17+Модель!E18+Модель!E19+Модель!E21))+Модель!E32+Модель!E29)*Вводные!$B$39</f>
        <v/>
      </c>
      <c r="F12" s="60">
        <f>((Вводные!$B$8*365*MIN((Вводные!$B$17+-0.05),Вводные!$B$16+((Вводные!$B$17+-0.05)-Вводные!$B$16)*MIN(1,2/Вводные!$B$18))*(Вводные!$B$14*(1+-0.05))*(1+Вводные!$B$15)^2*(1+Вводные!$B$19))*(1-Вводные!$B$22-Вводные!$B$27)+(Модель!F17+Модель!F18+Модель!F19+Модель!F21))-MAX(0,((Вводные!$B$8*365*MIN((Вводные!$B$17+-0.05),Вводные!$B$16+((Вводные!$B$17+-0.05)-Вводные!$B$16)*MIN(1,2/Вводные!$B$18))*(Вводные!$B$14*(1+-0.05))*(1+Вводные!$B$15)^2*(1+Вводные!$B$19))*(1-Вводные!$B$22-Вводные!$B$27)+(Модель!F17+Модель!F18+Модель!F19+Модель!F21))+Модель!F32+Модель!F29)*Вводные!$B$39</f>
        <v/>
      </c>
      <c r="G12" s="60">
        <f>((Вводные!$B$8*365*MIN((Вводные!$B$17+-0.05),Вводные!$B$16+((Вводные!$B$17+-0.05)-Вводные!$B$16)*MIN(1,3/Вводные!$B$18))*(Вводные!$B$14*(1+-0.05))*(1+Вводные!$B$15)^3*(1+Вводные!$B$19))*(1-Вводные!$B$22-Вводные!$B$27)+(Модель!G17+Модель!G18+Модель!G19+Модель!G21))-MAX(0,((Вводные!$B$8*365*MIN((Вводные!$B$17+-0.05),Вводные!$B$16+((Вводные!$B$17+-0.05)-Вводные!$B$16)*MIN(1,3/Вводные!$B$18))*(Вводные!$B$14*(1+-0.05))*(1+Вводные!$B$15)^3*(1+Вводные!$B$19))*(1-Вводные!$B$22-Вводные!$B$27)+(Модель!G17+Модель!G18+Модель!G19+Модель!G21))+Модель!G32+Модель!G29)*Вводные!$B$39</f>
        <v/>
      </c>
      <c r="H12" s="60">
        <f>((Вводные!$B$8*365*MIN((Вводные!$B$17+-0.05),Вводные!$B$16+((Вводные!$B$17+-0.05)-Вводные!$B$16)*MIN(1,4/Вводные!$B$18))*(Вводные!$B$14*(1+-0.05))*(1+Вводные!$B$15)^4*(1+Вводные!$B$19))*(1-Вводные!$B$22-Вводные!$B$27)+(Модель!H17+Модель!H18+Модель!H19+Модель!H21))-MAX(0,((Вводные!$B$8*365*MIN((Вводные!$B$17+-0.05),Вводные!$B$16+((Вводные!$B$17+-0.05)-Вводные!$B$16)*MIN(1,4/Вводные!$B$18))*(Вводные!$B$14*(1+-0.05))*(1+Вводные!$B$15)^4*(1+Вводные!$B$19))*(1-Вводные!$B$22-Вводные!$B$27)+(Модель!H17+Модель!H18+Модель!H19+Модель!H21))+Модель!H32+Модель!H29)*Вводные!$B$39</f>
        <v/>
      </c>
      <c r="I12" s="60">
        <f>((Вводные!$B$8*365*MIN((Вводные!$B$17+-0.05),Вводные!$B$16+((Вводные!$B$17+-0.05)-Вводные!$B$16)*MIN(1,5/Вводные!$B$18))*(Вводные!$B$14*(1+-0.05))*(1+Вводные!$B$15)^5*(1+Вводные!$B$19))*(1-Вводные!$B$22-Вводные!$B$27)+(Модель!I17+Модель!I18+Модель!I19+Модель!I21))-MAX(0,((Вводные!$B$8*365*MIN((Вводные!$B$17+-0.05),Вводные!$B$16+((Вводные!$B$17+-0.05)-Вводные!$B$16)*MIN(1,5/Вводные!$B$18))*(Вводные!$B$14*(1+-0.05))*(1+Вводные!$B$15)^5*(1+Вводные!$B$19))*(1-Вводные!$B$22-Вводные!$B$27)+(Модель!I17+Модель!I18+Модель!I19+Модель!I21))+Модель!I32+Модель!I29)*Вводные!$B$39</f>
        <v/>
      </c>
      <c r="J12" s="60">
        <f>((Вводные!$B$8*365*MIN((Вводные!$B$17+-0.05),Вводные!$B$16+((Вводные!$B$17+-0.05)-Вводные!$B$16)*MIN(1,6/Вводные!$B$18))*(Вводные!$B$14*(1+-0.05))*(1+Вводные!$B$15)^6*(1+Вводные!$B$19))*(1-Вводные!$B$22-Вводные!$B$27)+(Модель!J17+Модель!J18+Модель!J19+Модель!J21))-MAX(0,((Вводные!$B$8*365*MIN((Вводные!$B$17+-0.05),Вводные!$B$16+((Вводные!$B$17+-0.05)-Вводные!$B$16)*MIN(1,6/Вводные!$B$18))*(Вводные!$B$14*(1+-0.05))*(1+Вводные!$B$15)^6*(1+Вводные!$B$19))*(1-Вводные!$B$22-Вводные!$B$27)+(Модель!J17+Модель!J18+Модель!J19+Модель!J21))+Модель!J32+Модель!J29)*Вводные!$B$39</f>
        <v/>
      </c>
      <c r="K12" s="60">
        <f>((Вводные!$B$8*365*MIN((Вводные!$B$17+-0.05),Вводные!$B$16+((Вводные!$B$17+-0.05)-Вводные!$B$16)*MIN(1,7/Вводные!$B$18))*(Вводные!$B$14*(1+-0.05))*(1+Вводные!$B$15)^7*(1+Вводные!$B$19))*(1-Вводные!$B$22-Вводные!$B$27)+(Модель!K17+Модель!K18+Модель!K19+Модель!K21))-MAX(0,((Вводные!$B$8*365*MIN((Вводные!$B$17+-0.05),Вводные!$B$16+((Вводные!$B$17+-0.05)-Вводные!$B$16)*MIN(1,7/Вводные!$B$18))*(Вводные!$B$14*(1+-0.05))*(1+Вводные!$B$15)^7*(1+Вводные!$B$19))*(1-Вводные!$B$22-Вводные!$B$27)+(Модель!K17+Модель!K18+Модель!K19+Модель!K21))+Модель!K32+Модель!K29)*Вводные!$B$39</f>
        <v/>
      </c>
      <c r="L12" s="60">
        <f>((Вводные!$B$8*365*MIN((Вводные!$B$17+-0.05),Вводные!$B$16+((Вводные!$B$17+-0.05)-Вводные!$B$16)*MIN(1,8/Вводные!$B$18))*(Вводные!$B$14*(1+-0.05))*(1+Вводные!$B$15)^8*(1+Вводные!$B$19))*(1-Вводные!$B$22-Вводные!$B$27)+(Модель!L17+Модель!L18+Модель!L19+Модель!L21))-MAX(0,((Вводные!$B$8*365*MIN((Вводные!$B$17+-0.05),Вводные!$B$16+((Вводные!$B$17+-0.05)-Вводные!$B$16)*MIN(1,8/Вводные!$B$18))*(Вводные!$B$14*(1+-0.05)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-0.05),Вводные!$B$16+((Вводные!$B$17+-0.05)-Вводные!$B$16)*MIN(1,8/Вводные!$B$18))*(Вводные!$B$14*(1+-0.05))*(1+Вводные!$B$15)^8*(1+Вводные!$B$19))*(1-Вводные!$B$22-Вводные!$B$27)+(Модель!L17+Модель!L18+Модель!L19+Модель!L21))*Вводные!$B$40</f>
        <v/>
      </c>
      <c r="M12" s="51">
        <f>SUMPRODUCT(B12:L12,Модель!$B$42:$L$42)</f>
        <v/>
      </c>
      <c r="N12" s="59">
        <f>IFERROR(IRR(B12:L12),"—")</f>
        <v/>
      </c>
    </row>
    <row r="13">
      <c r="A13" s="48" t="inlineStr">
        <is>
          <t>Загрузка -5% · тариф +0%</t>
        </is>
      </c>
      <c r="B13" s="60">
        <f>Модель!B7</f>
        <v/>
      </c>
      <c r="C13" s="60">
        <f>Модель!C7</f>
        <v/>
      </c>
      <c r="D13" s="60">
        <f>((Вводные!$B$8*365*MIN((Вводные!$B$17+-0.05),Вводные!$B$16+((Вводные!$B$17+-0.05)-Вводные!$B$16)*MIN(1,0/Вводные!$B$18))*(Вводные!$B$14*(1+0.0))*(1+Вводные!$B$15)^0*(1+Вводные!$B$19))*(1-Вводные!$B$22-Вводные!$B$27)+(Модель!D17+Модель!D18+Модель!D19+Модель!D21))-MAX(0,((Вводные!$B$8*365*MIN((Вводные!$B$17+-0.05),Вводные!$B$16+((Вводные!$B$17+-0.05)-Вводные!$B$16)*MIN(1,0/Вводные!$B$18))*(Вводные!$B$14*(1+0.0))*(1+Вводные!$B$15)^0*(1+Вводные!$B$19))*(1-Вводные!$B$22-Вводные!$B$27)+(Модель!D17+Модель!D18+Модель!D19+Модель!D21))+Модель!D32+Модель!D29)*Вводные!$B$39</f>
        <v/>
      </c>
      <c r="E13" s="60">
        <f>((Вводные!$B$8*365*MIN((Вводные!$B$17+-0.05),Вводные!$B$16+((Вводные!$B$17+-0.05)-Вводные!$B$16)*MIN(1,1/Вводные!$B$18))*(Вводные!$B$14*(1+0.0))*(1+Вводные!$B$15)^1*(1+Вводные!$B$19))*(1-Вводные!$B$22-Вводные!$B$27)+(Модель!E17+Модель!E18+Модель!E19+Модель!E21))-MAX(0,((Вводные!$B$8*365*MIN((Вводные!$B$17+-0.05),Вводные!$B$16+((Вводные!$B$17+-0.05)-Вводные!$B$16)*MIN(1,1/Вводные!$B$18))*(Вводные!$B$14*(1+0.0))*(1+Вводные!$B$15)^1*(1+Вводные!$B$19))*(1-Вводные!$B$22-Вводные!$B$27)+(Модель!E17+Модель!E18+Модель!E19+Модель!E21))+Модель!E32+Модель!E29)*Вводные!$B$39</f>
        <v/>
      </c>
      <c r="F13" s="60">
        <f>((Вводные!$B$8*365*MIN((Вводные!$B$17+-0.05),Вводные!$B$16+((Вводные!$B$17+-0.05)-Вводные!$B$16)*MIN(1,2/Вводные!$B$18))*(Вводные!$B$14*(1+0.0))*(1+Вводные!$B$15)^2*(1+Вводные!$B$19))*(1-Вводные!$B$22-Вводные!$B$27)+(Модель!F17+Модель!F18+Модель!F19+Модель!F21))-MAX(0,((Вводные!$B$8*365*MIN((Вводные!$B$17+-0.05),Вводные!$B$16+((Вводные!$B$17+-0.05)-Вводные!$B$16)*MIN(1,2/Вводные!$B$18))*(Вводные!$B$14*(1+0.0))*(1+Вводные!$B$15)^2*(1+Вводные!$B$19))*(1-Вводные!$B$22-Вводные!$B$27)+(Модель!F17+Модель!F18+Модель!F19+Модель!F21))+Модель!F32+Модель!F29)*Вводные!$B$39</f>
        <v/>
      </c>
      <c r="G13" s="60">
        <f>((Вводные!$B$8*365*MIN((Вводные!$B$17+-0.05),Вводные!$B$16+((Вводные!$B$17+-0.05)-Вводные!$B$16)*MIN(1,3/Вводные!$B$18))*(Вводные!$B$14*(1+0.0))*(1+Вводные!$B$15)^3*(1+Вводные!$B$19))*(1-Вводные!$B$22-Вводные!$B$27)+(Модель!G17+Модель!G18+Модель!G19+Модель!G21))-MAX(0,((Вводные!$B$8*365*MIN((Вводные!$B$17+-0.05),Вводные!$B$16+((Вводные!$B$17+-0.05)-Вводные!$B$16)*MIN(1,3/Вводные!$B$18))*(Вводные!$B$14*(1+0.0))*(1+Вводные!$B$15)^3*(1+Вводные!$B$19))*(1-Вводные!$B$22-Вводные!$B$27)+(Модель!G17+Модель!G18+Модель!G19+Модель!G21))+Модель!G32+Модель!G29)*Вводные!$B$39</f>
        <v/>
      </c>
      <c r="H13" s="60">
        <f>((Вводные!$B$8*365*MIN((Вводные!$B$17+-0.05),Вводные!$B$16+((Вводные!$B$17+-0.05)-Вводные!$B$16)*MIN(1,4/Вводные!$B$18))*(Вводные!$B$14*(1+0.0))*(1+Вводные!$B$15)^4*(1+Вводные!$B$19))*(1-Вводные!$B$22-Вводные!$B$27)+(Модель!H17+Модель!H18+Модель!H19+Модель!H21))-MAX(0,((Вводные!$B$8*365*MIN((Вводные!$B$17+-0.05),Вводные!$B$16+((Вводные!$B$17+-0.05)-Вводные!$B$16)*MIN(1,4/Вводные!$B$18))*(Вводные!$B$14*(1+0.0))*(1+Вводные!$B$15)^4*(1+Вводные!$B$19))*(1-Вводные!$B$22-Вводные!$B$27)+(Модель!H17+Модель!H18+Модель!H19+Модель!H21))+Модель!H32+Модель!H29)*Вводные!$B$39</f>
        <v/>
      </c>
      <c r="I13" s="60">
        <f>((Вводные!$B$8*365*MIN((Вводные!$B$17+-0.05),Вводные!$B$16+((Вводные!$B$17+-0.05)-Вводные!$B$16)*MIN(1,5/Вводные!$B$18))*(Вводные!$B$14*(1+0.0))*(1+Вводные!$B$15)^5*(1+Вводные!$B$19))*(1-Вводные!$B$22-Вводные!$B$27)+(Модель!I17+Модель!I18+Модель!I19+Модель!I21))-MAX(0,((Вводные!$B$8*365*MIN((Вводные!$B$17+-0.05),Вводные!$B$16+((Вводные!$B$17+-0.05)-Вводные!$B$16)*MIN(1,5/Вводные!$B$18))*(Вводные!$B$14*(1+0.0))*(1+Вводные!$B$15)^5*(1+Вводные!$B$19))*(1-Вводные!$B$22-Вводные!$B$27)+(Модель!I17+Модель!I18+Модель!I19+Модель!I21))+Модель!I32+Модель!I29)*Вводные!$B$39</f>
        <v/>
      </c>
      <c r="J13" s="60">
        <f>((Вводные!$B$8*365*MIN((Вводные!$B$17+-0.05),Вводные!$B$16+((Вводные!$B$17+-0.05)-Вводные!$B$16)*MIN(1,6/Вводные!$B$18))*(Вводные!$B$14*(1+0.0))*(1+Вводные!$B$15)^6*(1+Вводные!$B$19))*(1-Вводные!$B$22-Вводные!$B$27)+(Модель!J17+Модель!J18+Модель!J19+Модель!J21))-MAX(0,((Вводные!$B$8*365*MIN((Вводные!$B$17+-0.05),Вводные!$B$16+((Вводные!$B$17+-0.05)-Вводные!$B$16)*MIN(1,6/Вводные!$B$18))*(Вводные!$B$14*(1+0.0))*(1+Вводные!$B$15)^6*(1+Вводные!$B$19))*(1-Вводные!$B$22-Вводные!$B$27)+(Модель!J17+Модель!J18+Модель!J19+Модель!J21))+Модель!J32+Модель!J29)*Вводные!$B$39</f>
        <v/>
      </c>
      <c r="K13" s="60">
        <f>((Вводные!$B$8*365*MIN((Вводные!$B$17+-0.05),Вводные!$B$16+((Вводные!$B$17+-0.05)-Вводные!$B$16)*MIN(1,7/Вводные!$B$18))*(Вводные!$B$14*(1+0.0))*(1+Вводные!$B$15)^7*(1+Вводные!$B$19))*(1-Вводные!$B$22-Вводные!$B$27)+(Модель!K17+Модель!K18+Модель!K19+Модель!K21))-MAX(0,((Вводные!$B$8*365*MIN((Вводные!$B$17+-0.05),Вводные!$B$16+((Вводные!$B$17+-0.05)-Вводные!$B$16)*MIN(1,7/Вводные!$B$18))*(Вводные!$B$14*(1+0.0))*(1+Вводные!$B$15)^7*(1+Вводные!$B$19))*(1-Вводные!$B$22-Вводные!$B$27)+(Модель!K17+Модель!K18+Модель!K19+Модель!K21))+Модель!K32+Модель!K29)*Вводные!$B$39</f>
        <v/>
      </c>
      <c r="L13" s="60">
        <f>((Вводные!$B$8*365*MIN((Вводные!$B$17+-0.05),Вводные!$B$16+((Вводные!$B$17+-0.05)-Вводные!$B$16)*MIN(1,8/Вводные!$B$18))*(Вводные!$B$14*(1+0.0))*(1+Вводные!$B$15)^8*(1+Вводные!$B$19))*(1-Вводные!$B$22-Вводные!$B$27)+(Модель!L17+Модель!L18+Модель!L19+Модель!L21))-MAX(0,((Вводные!$B$8*365*MIN((Вводные!$B$17+-0.05),Вводные!$B$16+((Вводные!$B$17+-0.05)-Вводные!$B$16)*MIN(1,8/Вводные!$B$18))*(Вводные!$B$14*(1+0.0)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-0.05),Вводные!$B$16+((Вводные!$B$17+-0.05)-Вводные!$B$16)*MIN(1,8/Вводные!$B$18))*(Вводные!$B$14*(1+0.0))*(1+Вводные!$B$15)^8*(1+Вводные!$B$19))*(1-Вводные!$B$22-Вводные!$B$27)+(Модель!L17+Модель!L18+Модель!L19+Модель!L21))*Вводные!$B$40</f>
        <v/>
      </c>
      <c r="M13" s="51">
        <f>SUMPRODUCT(B13:L13,Модель!$B$42:$L$42)</f>
        <v/>
      </c>
      <c r="N13" s="59">
        <f>IFERROR(IRR(B13:L13),"—")</f>
        <v/>
      </c>
    </row>
    <row r="14">
      <c r="A14" s="48" t="inlineStr">
        <is>
          <t>Загрузка -5% · тариф +5%</t>
        </is>
      </c>
      <c r="B14" s="60">
        <f>Модель!B7</f>
        <v/>
      </c>
      <c r="C14" s="60">
        <f>Модель!C7</f>
        <v/>
      </c>
      <c r="D14" s="60">
        <f>((Вводные!$B$8*365*MIN((Вводные!$B$17+-0.05),Вводные!$B$16+((Вводные!$B$17+-0.05)-Вводные!$B$16)*MIN(1,0/Вводные!$B$18))*(Вводные!$B$14*(1+0.05))*(1+Вводные!$B$15)^0*(1+Вводные!$B$19))*(1-Вводные!$B$22-Вводные!$B$27)+(Модель!D17+Модель!D18+Модель!D19+Модель!D21))-MAX(0,((Вводные!$B$8*365*MIN((Вводные!$B$17+-0.05),Вводные!$B$16+((Вводные!$B$17+-0.05)-Вводные!$B$16)*MIN(1,0/Вводные!$B$18))*(Вводные!$B$14*(1+0.05))*(1+Вводные!$B$15)^0*(1+Вводные!$B$19))*(1-Вводные!$B$22-Вводные!$B$27)+(Модель!D17+Модель!D18+Модель!D19+Модель!D21))+Модель!D32+Модель!D29)*Вводные!$B$39</f>
        <v/>
      </c>
      <c r="E14" s="60">
        <f>((Вводные!$B$8*365*MIN((Вводные!$B$17+-0.05),Вводные!$B$16+((Вводные!$B$17+-0.05)-Вводные!$B$16)*MIN(1,1/Вводные!$B$18))*(Вводные!$B$14*(1+0.05))*(1+Вводные!$B$15)^1*(1+Вводные!$B$19))*(1-Вводные!$B$22-Вводные!$B$27)+(Модель!E17+Модель!E18+Модель!E19+Модель!E21))-MAX(0,((Вводные!$B$8*365*MIN((Вводные!$B$17+-0.05),Вводные!$B$16+((Вводные!$B$17+-0.05)-Вводные!$B$16)*MIN(1,1/Вводные!$B$18))*(Вводные!$B$14*(1+0.05))*(1+Вводные!$B$15)^1*(1+Вводные!$B$19))*(1-Вводные!$B$22-Вводные!$B$27)+(Модель!E17+Модель!E18+Модель!E19+Модель!E21))+Модель!E32+Модель!E29)*Вводные!$B$39</f>
        <v/>
      </c>
      <c r="F14" s="60">
        <f>((Вводные!$B$8*365*MIN((Вводные!$B$17+-0.05),Вводные!$B$16+((Вводные!$B$17+-0.05)-Вводные!$B$16)*MIN(1,2/Вводные!$B$18))*(Вводные!$B$14*(1+0.05))*(1+Вводные!$B$15)^2*(1+Вводные!$B$19))*(1-Вводные!$B$22-Вводные!$B$27)+(Модель!F17+Модель!F18+Модель!F19+Модель!F21))-MAX(0,((Вводные!$B$8*365*MIN((Вводные!$B$17+-0.05),Вводные!$B$16+((Вводные!$B$17+-0.05)-Вводные!$B$16)*MIN(1,2/Вводные!$B$18))*(Вводные!$B$14*(1+0.05))*(1+Вводные!$B$15)^2*(1+Вводные!$B$19))*(1-Вводные!$B$22-Вводные!$B$27)+(Модель!F17+Модель!F18+Модель!F19+Модель!F21))+Модель!F32+Модель!F29)*Вводные!$B$39</f>
        <v/>
      </c>
      <c r="G14" s="60">
        <f>((Вводные!$B$8*365*MIN((Вводные!$B$17+-0.05),Вводные!$B$16+((Вводные!$B$17+-0.05)-Вводные!$B$16)*MIN(1,3/Вводные!$B$18))*(Вводные!$B$14*(1+0.05))*(1+Вводные!$B$15)^3*(1+Вводные!$B$19))*(1-Вводные!$B$22-Вводные!$B$27)+(Модель!G17+Модель!G18+Модель!G19+Модель!G21))-MAX(0,((Вводные!$B$8*365*MIN((Вводные!$B$17+-0.05),Вводные!$B$16+((Вводные!$B$17+-0.05)-Вводные!$B$16)*MIN(1,3/Вводные!$B$18))*(Вводные!$B$14*(1+0.05))*(1+Вводные!$B$15)^3*(1+Вводные!$B$19))*(1-Вводные!$B$22-Вводные!$B$27)+(Модель!G17+Модель!G18+Модель!G19+Модель!G21))+Модель!G32+Модель!G29)*Вводные!$B$39</f>
        <v/>
      </c>
      <c r="H14" s="60">
        <f>((Вводные!$B$8*365*MIN((Вводные!$B$17+-0.05),Вводные!$B$16+((Вводные!$B$17+-0.05)-Вводные!$B$16)*MIN(1,4/Вводные!$B$18))*(Вводные!$B$14*(1+0.05))*(1+Вводные!$B$15)^4*(1+Вводные!$B$19))*(1-Вводные!$B$22-Вводные!$B$27)+(Модель!H17+Модель!H18+Модель!H19+Модель!H21))-MAX(0,((Вводные!$B$8*365*MIN((Вводные!$B$17+-0.05),Вводные!$B$16+((Вводные!$B$17+-0.05)-Вводные!$B$16)*MIN(1,4/Вводные!$B$18))*(Вводные!$B$14*(1+0.05))*(1+Вводные!$B$15)^4*(1+Вводные!$B$19))*(1-Вводные!$B$22-Вводные!$B$27)+(Модель!H17+Модель!H18+Модель!H19+Модель!H21))+Модель!H32+Модель!H29)*Вводные!$B$39</f>
        <v/>
      </c>
      <c r="I14" s="60">
        <f>((Вводные!$B$8*365*MIN((Вводные!$B$17+-0.05),Вводные!$B$16+((Вводные!$B$17+-0.05)-Вводные!$B$16)*MIN(1,5/Вводные!$B$18))*(Вводные!$B$14*(1+0.05))*(1+Вводные!$B$15)^5*(1+Вводные!$B$19))*(1-Вводные!$B$22-Вводные!$B$27)+(Модель!I17+Модель!I18+Модель!I19+Модель!I21))-MAX(0,((Вводные!$B$8*365*MIN((Вводные!$B$17+-0.05),Вводные!$B$16+((Вводные!$B$17+-0.05)-Вводные!$B$16)*MIN(1,5/Вводные!$B$18))*(Вводные!$B$14*(1+0.05))*(1+Вводные!$B$15)^5*(1+Вводные!$B$19))*(1-Вводные!$B$22-Вводные!$B$27)+(Модель!I17+Модель!I18+Модель!I19+Модель!I21))+Модель!I32+Модель!I29)*Вводные!$B$39</f>
        <v/>
      </c>
      <c r="J14" s="60">
        <f>((Вводные!$B$8*365*MIN((Вводные!$B$17+-0.05),Вводные!$B$16+((Вводные!$B$17+-0.05)-Вводные!$B$16)*MIN(1,6/Вводные!$B$18))*(Вводные!$B$14*(1+0.05))*(1+Вводные!$B$15)^6*(1+Вводные!$B$19))*(1-Вводные!$B$22-Вводные!$B$27)+(Модель!J17+Модель!J18+Модель!J19+Модель!J21))-MAX(0,((Вводные!$B$8*365*MIN((Вводные!$B$17+-0.05),Вводные!$B$16+((Вводные!$B$17+-0.05)-Вводные!$B$16)*MIN(1,6/Вводные!$B$18))*(Вводные!$B$14*(1+0.05))*(1+Вводные!$B$15)^6*(1+Вводные!$B$19))*(1-Вводные!$B$22-Вводные!$B$27)+(Модель!J17+Модель!J18+Модель!J19+Модель!J21))+Модель!J32+Модель!J29)*Вводные!$B$39</f>
        <v/>
      </c>
      <c r="K14" s="60">
        <f>((Вводные!$B$8*365*MIN((Вводные!$B$17+-0.05),Вводные!$B$16+((Вводные!$B$17+-0.05)-Вводные!$B$16)*MIN(1,7/Вводные!$B$18))*(Вводные!$B$14*(1+0.05))*(1+Вводные!$B$15)^7*(1+Вводные!$B$19))*(1-Вводные!$B$22-Вводные!$B$27)+(Модель!K17+Модель!K18+Модель!K19+Модель!K21))-MAX(0,((Вводные!$B$8*365*MIN((Вводные!$B$17+-0.05),Вводные!$B$16+((Вводные!$B$17+-0.05)-Вводные!$B$16)*MIN(1,7/Вводные!$B$18))*(Вводные!$B$14*(1+0.05))*(1+Вводные!$B$15)^7*(1+Вводные!$B$19))*(1-Вводные!$B$22-Вводные!$B$27)+(Модель!K17+Модель!K18+Модель!K19+Модель!K21))+Модель!K32+Модель!K29)*Вводные!$B$39</f>
        <v/>
      </c>
      <c r="L14" s="60">
        <f>((Вводные!$B$8*365*MIN((Вводные!$B$17+-0.05),Вводные!$B$16+((Вводные!$B$17+-0.05)-Вводные!$B$16)*MIN(1,8/Вводные!$B$18))*(Вводные!$B$14*(1+0.05))*(1+Вводные!$B$15)^8*(1+Вводные!$B$19))*(1-Вводные!$B$22-Вводные!$B$27)+(Модель!L17+Модель!L18+Модель!L19+Модель!L21))-MAX(0,((Вводные!$B$8*365*MIN((Вводные!$B$17+-0.05),Вводные!$B$16+((Вводные!$B$17+-0.05)-Вводные!$B$16)*MIN(1,8/Вводные!$B$18))*(Вводные!$B$14*(1+0.05)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-0.05),Вводные!$B$16+((Вводные!$B$17+-0.05)-Вводные!$B$16)*MIN(1,8/Вводные!$B$18))*(Вводные!$B$14*(1+0.05))*(1+Вводные!$B$15)^8*(1+Вводные!$B$19))*(1-Вводные!$B$22-Вводные!$B$27)+(Модель!L17+Модель!L18+Модель!L19+Модель!L21))*Вводные!$B$40</f>
        <v/>
      </c>
      <c r="M14" s="51">
        <f>SUMPRODUCT(B14:L14,Модель!$B$42:$L$42)</f>
        <v/>
      </c>
      <c r="N14" s="59">
        <f>IFERROR(IRR(B14:L14),"—")</f>
        <v/>
      </c>
    </row>
    <row r="15">
      <c r="A15" s="48" t="inlineStr">
        <is>
          <t>Загрузка -5% · тариф +10%</t>
        </is>
      </c>
      <c r="B15" s="60">
        <f>Модель!B7</f>
        <v/>
      </c>
      <c r="C15" s="60">
        <f>Модель!C7</f>
        <v/>
      </c>
      <c r="D15" s="60">
        <f>((Вводные!$B$8*365*MIN((Вводные!$B$17+-0.05),Вводные!$B$16+((Вводные!$B$17+-0.05)-Вводные!$B$16)*MIN(1,0/Вводные!$B$18))*(Вводные!$B$14*(1+0.1))*(1+Вводные!$B$15)^0*(1+Вводные!$B$19))*(1-Вводные!$B$22-Вводные!$B$27)+(Модель!D17+Модель!D18+Модель!D19+Модель!D21))-MAX(0,((Вводные!$B$8*365*MIN((Вводные!$B$17+-0.05),Вводные!$B$16+((Вводные!$B$17+-0.05)-Вводные!$B$16)*MIN(1,0/Вводные!$B$18))*(Вводные!$B$14*(1+0.1))*(1+Вводные!$B$15)^0*(1+Вводные!$B$19))*(1-Вводные!$B$22-Вводные!$B$27)+(Модель!D17+Модель!D18+Модель!D19+Модель!D21))+Модель!D32+Модель!D29)*Вводные!$B$39</f>
        <v/>
      </c>
      <c r="E15" s="60">
        <f>((Вводные!$B$8*365*MIN((Вводные!$B$17+-0.05),Вводные!$B$16+((Вводные!$B$17+-0.05)-Вводные!$B$16)*MIN(1,1/Вводные!$B$18))*(Вводные!$B$14*(1+0.1))*(1+Вводные!$B$15)^1*(1+Вводные!$B$19))*(1-Вводные!$B$22-Вводные!$B$27)+(Модель!E17+Модель!E18+Модель!E19+Модель!E21))-MAX(0,((Вводные!$B$8*365*MIN((Вводные!$B$17+-0.05),Вводные!$B$16+((Вводные!$B$17+-0.05)-Вводные!$B$16)*MIN(1,1/Вводные!$B$18))*(Вводные!$B$14*(1+0.1))*(1+Вводные!$B$15)^1*(1+Вводные!$B$19))*(1-Вводные!$B$22-Вводные!$B$27)+(Модель!E17+Модель!E18+Модель!E19+Модель!E21))+Модель!E32+Модель!E29)*Вводные!$B$39</f>
        <v/>
      </c>
      <c r="F15" s="60">
        <f>((Вводные!$B$8*365*MIN((Вводные!$B$17+-0.05),Вводные!$B$16+((Вводные!$B$17+-0.05)-Вводные!$B$16)*MIN(1,2/Вводные!$B$18))*(Вводные!$B$14*(1+0.1))*(1+Вводные!$B$15)^2*(1+Вводные!$B$19))*(1-Вводные!$B$22-Вводные!$B$27)+(Модель!F17+Модель!F18+Модель!F19+Модель!F21))-MAX(0,((Вводные!$B$8*365*MIN((Вводные!$B$17+-0.05),Вводные!$B$16+((Вводные!$B$17+-0.05)-Вводные!$B$16)*MIN(1,2/Вводные!$B$18))*(Вводные!$B$14*(1+0.1))*(1+Вводные!$B$15)^2*(1+Вводные!$B$19))*(1-Вводные!$B$22-Вводные!$B$27)+(Модель!F17+Модель!F18+Модель!F19+Модель!F21))+Модель!F32+Модель!F29)*Вводные!$B$39</f>
        <v/>
      </c>
      <c r="G15" s="60">
        <f>((Вводные!$B$8*365*MIN((Вводные!$B$17+-0.05),Вводные!$B$16+((Вводные!$B$17+-0.05)-Вводные!$B$16)*MIN(1,3/Вводные!$B$18))*(Вводные!$B$14*(1+0.1))*(1+Вводные!$B$15)^3*(1+Вводные!$B$19))*(1-Вводные!$B$22-Вводные!$B$27)+(Модель!G17+Модель!G18+Модель!G19+Модель!G21))-MAX(0,((Вводные!$B$8*365*MIN((Вводные!$B$17+-0.05),Вводные!$B$16+((Вводные!$B$17+-0.05)-Вводные!$B$16)*MIN(1,3/Вводные!$B$18))*(Вводные!$B$14*(1+0.1))*(1+Вводные!$B$15)^3*(1+Вводные!$B$19))*(1-Вводные!$B$22-Вводные!$B$27)+(Модель!G17+Модель!G18+Модель!G19+Модель!G21))+Модель!G32+Модель!G29)*Вводные!$B$39</f>
        <v/>
      </c>
      <c r="H15" s="60">
        <f>((Вводные!$B$8*365*MIN((Вводные!$B$17+-0.05),Вводные!$B$16+((Вводные!$B$17+-0.05)-Вводные!$B$16)*MIN(1,4/Вводные!$B$18))*(Вводные!$B$14*(1+0.1))*(1+Вводные!$B$15)^4*(1+Вводные!$B$19))*(1-Вводные!$B$22-Вводные!$B$27)+(Модель!H17+Модель!H18+Модель!H19+Модель!H21))-MAX(0,((Вводные!$B$8*365*MIN((Вводные!$B$17+-0.05),Вводные!$B$16+((Вводные!$B$17+-0.05)-Вводные!$B$16)*MIN(1,4/Вводные!$B$18))*(Вводные!$B$14*(1+0.1))*(1+Вводные!$B$15)^4*(1+Вводные!$B$19))*(1-Вводные!$B$22-Вводные!$B$27)+(Модель!H17+Модель!H18+Модель!H19+Модель!H21))+Модель!H32+Модель!H29)*Вводные!$B$39</f>
        <v/>
      </c>
      <c r="I15" s="60">
        <f>((Вводные!$B$8*365*MIN((Вводные!$B$17+-0.05),Вводные!$B$16+((Вводные!$B$17+-0.05)-Вводные!$B$16)*MIN(1,5/Вводные!$B$18))*(Вводные!$B$14*(1+0.1))*(1+Вводные!$B$15)^5*(1+Вводные!$B$19))*(1-Вводные!$B$22-Вводные!$B$27)+(Модель!I17+Модель!I18+Модель!I19+Модель!I21))-MAX(0,((Вводные!$B$8*365*MIN((Вводные!$B$17+-0.05),Вводные!$B$16+((Вводные!$B$17+-0.05)-Вводные!$B$16)*MIN(1,5/Вводные!$B$18))*(Вводные!$B$14*(1+0.1))*(1+Вводные!$B$15)^5*(1+Вводные!$B$19))*(1-Вводные!$B$22-Вводные!$B$27)+(Модель!I17+Модель!I18+Модель!I19+Модель!I21))+Модель!I32+Модель!I29)*Вводные!$B$39</f>
        <v/>
      </c>
      <c r="J15" s="60">
        <f>((Вводные!$B$8*365*MIN((Вводные!$B$17+-0.05),Вводные!$B$16+((Вводные!$B$17+-0.05)-Вводные!$B$16)*MIN(1,6/Вводные!$B$18))*(Вводные!$B$14*(1+0.1))*(1+Вводные!$B$15)^6*(1+Вводные!$B$19))*(1-Вводные!$B$22-Вводные!$B$27)+(Модель!J17+Модель!J18+Модель!J19+Модель!J21))-MAX(0,((Вводные!$B$8*365*MIN((Вводные!$B$17+-0.05),Вводные!$B$16+((Вводные!$B$17+-0.05)-Вводные!$B$16)*MIN(1,6/Вводные!$B$18))*(Вводные!$B$14*(1+0.1))*(1+Вводные!$B$15)^6*(1+Вводные!$B$19))*(1-Вводные!$B$22-Вводные!$B$27)+(Модель!J17+Модель!J18+Модель!J19+Модель!J21))+Модель!J32+Модель!J29)*Вводные!$B$39</f>
        <v/>
      </c>
      <c r="K15" s="60">
        <f>((Вводные!$B$8*365*MIN((Вводные!$B$17+-0.05),Вводные!$B$16+((Вводные!$B$17+-0.05)-Вводные!$B$16)*MIN(1,7/Вводные!$B$18))*(Вводные!$B$14*(1+0.1))*(1+Вводные!$B$15)^7*(1+Вводные!$B$19))*(1-Вводные!$B$22-Вводные!$B$27)+(Модель!K17+Модель!K18+Модель!K19+Модель!K21))-MAX(0,((Вводные!$B$8*365*MIN((Вводные!$B$17+-0.05),Вводные!$B$16+((Вводные!$B$17+-0.05)-Вводные!$B$16)*MIN(1,7/Вводные!$B$18))*(Вводные!$B$14*(1+0.1))*(1+Вводные!$B$15)^7*(1+Вводные!$B$19))*(1-Вводные!$B$22-Вводные!$B$27)+(Модель!K17+Модель!K18+Модель!K19+Модель!K21))+Модель!K32+Модель!K29)*Вводные!$B$39</f>
        <v/>
      </c>
      <c r="L15" s="60">
        <f>((Вводные!$B$8*365*MIN((Вводные!$B$17+-0.05),Вводные!$B$16+((Вводные!$B$17+-0.05)-Вводные!$B$16)*MIN(1,8/Вводные!$B$18))*(Вводные!$B$14*(1+0.1))*(1+Вводные!$B$15)^8*(1+Вводные!$B$19))*(1-Вводные!$B$22-Вводные!$B$27)+(Модель!L17+Модель!L18+Модель!L19+Модель!L21))-MAX(0,((Вводные!$B$8*365*MIN((Вводные!$B$17+-0.05),Вводные!$B$16+((Вводные!$B$17+-0.05)-Вводные!$B$16)*MIN(1,8/Вводные!$B$18))*(Вводные!$B$14*(1+0.1)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-0.05),Вводные!$B$16+((Вводные!$B$17+-0.05)-Вводные!$B$16)*MIN(1,8/Вводные!$B$18))*(Вводные!$B$14*(1+0.1))*(1+Вводные!$B$15)^8*(1+Вводные!$B$19))*(1-Вводные!$B$22-Вводные!$B$27)+(Модель!L17+Модель!L18+Модель!L19+Модель!L21))*Вводные!$B$40</f>
        <v/>
      </c>
      <c r="M15" s="51">
        <f>SUMPRODUCT(B15:L15,Модель!$B$42:$L$42)</f>
        <v/>
      </c>
      <c r="N15" s="59">
        <f>IFERROR(IRR(B15:L15),"—")</f>
        <v/>
      </c>
    </row>
    <row r="16">
      <c r="A16" s="48" t="inlineStr">
        <is>
          <t>Загрузка +0% · тариф -10%</t>
        </is>
      </c>
      <c r="B16" s="60">
        <f>Модель!B7</f>
        <v/>
      </c>
      <c r="C16" s="60">
        <f>Модель!C7</f>
        <v/>
      </c>
      <c r="D16" s="60">
        <f>((Вводные!$B$8*365*MIN((Вводные!$B$17+0.0),Вводные!$B$16+((Вводные!$B$17+0.0)-Вводные!$B$16)*MIN(1,0/Вводные!$B$18))*(Вводные!$B$14*(1+-0.1))*(1+Вводные!$B$15)^0*(1+Вводные!$B$19))*(1-Вводные!$B$22-Вводные!$B$27)+(Модель!D17+Модель!D18+Модель!D19+Модель!D21))-MAX(0,((Вводные!$B$8*365*MIN((Вводные!$B$17+0.0),Вводные!$B$16+((Вводные!$B$17+0.0)-Вводные!$B$16)*MIN(1,0/Вводные!$B$18))*(Вводные!$B$14*(1+-0.1))*(1+Вводные!$B$15)^0*(1+Вводные!$B$19))*(1-Вводные!$B$22-Вводные!$B$27)+(Модель!D17+Модель!D18+Модель!D19+Модель!D21))+Модель!D32+Модель!D29)*Вводные!$B$39</f>
        <v/>
      </c>
      <c r="E16" s="60">
        <f>((Вводные!$B$8*365*MIN((Вводные!$B$17+0.0),Вводные!$B$16+((Вводные!$B$17+0.0)-Вводные!$B$16)*MIN(1,1/Вводные!$B$18))*(Вводные!$B$14*(1+-0.1))*(1+Вводные!$B$15)^1*(1+Вводные!$B$19))*(1-Вводные!$B$22-Вводные!$B$27)+(Модель!E17+Модель!E18+Модель!E19+Модель!E21))-MAX(0,((Вводные!$B$8*365*MIN((Вводные!$B$17+0.0),Вводные!$B$16+((Вводные!$B$17+0.0)-Вводные!$B$16)*MIN(1,1/Вводные!$B$18))*(Вводные!$B$14*(1+-0.1))*(1+Вводные!$B$15)^1*(1+Вводные!$B$19))*(1-Вводные!$B$22-Вводные!$B$27)+(Модель!E17+Модель!E18+Модель!E19+Модель!E21))+Модель!E32+Модель!E29)*Вводные!$B$39</f>
        <v/>
      </c>
      <c r="F16" s="60">
        <f>((Вводные!$B$8*365*MIN((Вводные!$B$17+0.0),Вводные!$B$16+((Вводные!$B$17+0.0)-Вводные!$B$16)*MIN(1,2/Вводные!$B$18))*(Вводные!$B$14*(1+-0.1))*(1+Вводные!$B$15)^2*(1+Вводные!$B$19))*(1-Вводные!$B$22-Вводные!$B$27)+(Модель!F17+Модель!F18+Модель!F19+Модель!F21))-MAX(0,((Вводные!$B$8*365*MIN((Вводные!$B$17+0.0),Вводные!$B$16+((Вводные!$B$17+0.0)-Вводные!$B$16)*MIN(1,2/Вводные!$B$18))*(Вводные!$B$14*(1+-0.1))*(1+Вводные!$B$15)^2*(1+Вводные!$B$19))*(1-Вводные!$B$22-Вводные!$B$27)+(Модель!F17+Модель!F18+Модель!F19+Модель!F21))+Модель!F32+Модель!F29)*Вводные!$B$39</f>
        <v/>
      </c>
      <c r="G16" s="60">
        <f>((Вводные!$B$8*365*MIN((Вводные!$B$17+0.0),Вводные!$B$16+((Вводные!$B$17+0.0)-Вводные!$B$16)*MIN(1,3/Вводные!$B$18))*(Вводные!$B$14*(1+-0.1))*(1+Вводные!$B$15)^3*(1+Вводные!$B$19))*(1-Вводные!$B$22-Вводные!$B$27)+(Модель!G17+Модель!G18+Модель!G19+Модель!G21))-MAX(0,((Вводные!$B$8*365*MIN((Вводные!$B$17+0.0),Вводные!$B$16+((Вводные!$B$17+0.0)-Вводные!$B$16)*MIN(1,3/Вводные!$B$18))*(Вводные!$B$14*(1+-0.1))*(1+Вводные!$B$15)^3*(1+Вводные!$B$19))*(1-Вводные!$B$22-Вводные!$B$27)+(Модель!G17+Модель!G18+Модель!G19+Модель!G21))+Модель!G32+Модель!G29)*Вводные!$B$39</f>
        <v/>
      </c>
      <c r="H16" s="60">
        <f>((Вводные!$B$8*365*MIN((Вводные!$B$17+0.0),Вводные!$B$16+((Вводные!$B$17+0.0)-Вводные!$B$16)*MIN(1,4/Вводные!$B$18))*(Вводные!$B$14*(1+-0.1))*(1+Вводные!$B$15)^4*(1+Вводные!$B$19))*(1-Вводные!$B$22-Вводные!$B$27)+(Модель!H17+Модель!H18+Модель!H19+Модель!H21))-MAX(0,((Вводные!$B$8*365*MIN((Вводные!$B$17+0.0),Вводные!$B$16+((Вводные!$B$17+0.0)-Вводные!$B$16)*MIN(1,4/Вводные!$B$18))*(Вводные!$B$14*(1+-0.1))*(1+Вводные!$B$15)^4*(1+Вводные!$B$19))*(1-Вводные!$B$22-Вводные!$B$27)+(Модель!H17+Модель!H18+Модель!H19+Модель!H21))+Модель!H32+Модель!H29)*Вводные!$B$39</f>
        <v/>
      </c>
      <c r="I16" s="60">
        <f>((Вводные!$B$8*365*MIN((Вводные!$B$17+0.0),Вводные!$B$16+((Вводные!$B$17+0.0)-Вводные!$B$16)*MIN(1,5/Вводные!$B$18))*(Вводные!$B$14*(1+-0.1))*(1+Вводные!$B$15)^5*(1+Вводные!$B$19))*(1-Вводные!$B$22-Вводные!$B$27)+(Модель!I17+Модель!I18+Модель!I19+Модель!I21))-MAX(0,((Вводные!$B$8*365*MIN((Вводные!$B$17+0.0),Вводные!$B$16+((Вводные!$B$17+0.0)-Вводные!$B$16)*MIN(1,5/Вводные!$B$18))*(Вводные!$B$14*(1+-0.1))*(1+Вводные!$B$15)^5*(1+Вводные!$B$19))*(1-Вводные!$B$22-Вводные!$B$27)+(Модель!I17+Модель!I18+Модель!I19+Модель!I21))+Модель!I32+Модель!I29)*Вводные!$B$39</f>
        <v/>
      </c>
      <c r="J16" s="60">
        <f>((Вводные!$B$8*365*MIN((Вводные!$B$17+0.0),Вводные!$B$16+((Вводные!$B$17+0.0)-Вводные!$B$16)*MIN(1,6/Вводные!$B$18))*(Вводные!$B$14*(1+-0.1))*(1+Вводные!$B$15)^6*(1+Вводные!$B$19))*(1-Вводные!$B$22-Вводные!$B$27)+(Модель!J17+Модель!J18+Модель!J19+Модель!J21))-MAX(0,((Вводные!$B$8*365*MIN((Вводные!$B$17+0.0),Вводные!$B$16+((Вводные!$B$17+0.0)-Вводные!$B$16)*MIN(1,6/Вводные!$B$18))*(Вводные!$B$14*(1+-0.1))*(1+Вводные!$B$15)^6*(1+Вводные!$B$19))*(1-Вводные!$B$22-Вводные!$B$27)+(Модель!J17+Модель!J18+Модель!J19+Модель!J21))+Модель!J32+Модель!J29)*Вводные!$B$39</f>
        <v/>
      </c>
      <c r="K16" s="60">
        <f>((Вводные!$B$8*365*MIN((Вводные!$B$17+0.0),Вводные!$B$16+((Вводные!$B$17+0.0)-Вводные!$B$16)*MIN(1,7/Вводные!$B$18))*(Вводные!$B$14*(1+-0.1))*(1+Вводные!$B$15)^7*(1+Вводные!$B$19))*(1-Вводные!$B$22-Вводные!$B$27)+(Модель!K17+Модель!K18+Модель!K19+Модель!K21))-MAX(0,((Вводные!$B$8*365*MIN((Вводные!$B$17+0.0),Вводные!$B$16+((Вводные!$B$17+0.0)-Вводные!$B$16)*MIN(1,7/Вводные!$B$18))*(Вводные!$B$14*(1+-0.1))*(1+Вводные!$B$15)^7*(1+Вводные!$B$19))*(1-Вводные!$B$22-Вводные!$B$27)+(Модель!K17+Модель!K18+Модель!K19+Модель!K21))+Модель!K32+Модель!K29)*Вводные!$B$39</f>
        <v/>
      </c>
      <c r="L16" s="60">
        <f>((Вводные!$B$8*365*MIN((Вводные!$B$17+0.0),Вводные!$B$16+((Вводные!$B$17+0.0)-Вводные!$B$16)*MIN(1,8/Вводные!$B$18))*(Вводные!$B$14*(1+-0.1))*(1+Вводные!$B$15)^8*(1+Вводные!$B$19))*(1-Вводные!$B$22-Вводные!$B$27)+(Модель!L17+Модель!L18+Модель!L19+Модель!L21))-MAX(0,((Вводные!$B$8*365*MIN((Вводные!$B$17+0.0),Вводные!$B$16+((Вводные!$B$17+0.0)-Вводные!$B$16)*MIN(1,8/Вводные!$B$18))*(Вводные!$B$14*(1+-0.1)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+0.0),Вводные!$B$16+((Вводные!$B$17+0.0)-Вводные!$B$16)*MIN(1,8/Вводные!$B$18))*(Вводные!$B$14*(1+-0.1))*(1+Вводные!$B$15)^8*(1+Вводные!$B$19))*(1-Вводные!$B$22-Вводные!$B$27)+(Модель!L17+Модель!L18+Модель!L19+Модель!L21))*Вводные!$B$40</f>
        <v/>
      </c>
      <c r="M16" s="51">
        <f>SUMPRODUCT(B16:L16,Модель!$B$42:$L$42)</f>
        <v/>
      </c>
      <c r="N16" s="59">
        <f>IFERROR(IRR(B16:L16),"—")</f>
        <v/>
      </c>
    </row>
    <row r="17">
      <c r="A17" s="48" t="inlineStr">
        <is>
          <t>Загрузка +0% · тариф -5%</t>
        </is>
      </c>
      <c r="B17" s="60">
        <f>Модель!B7</f>
        <v/>
      </c>
      <c r="C17" s="60">
        <f>Модель!C7</f>
        <v/>
      </c>
      <c r="D17" s="60">
        <f>((Вводные!$B$8*365*MIN((Вводные!$B$17+0.0),Вводные!$B$16+((Вводные!$B$17+0.0)-Вводные!$B$16)*MIN(1,0/Вводные!$B$18))*(Вводные!$B$14*(1+-0.05))*(1+Вводные!$B$15)^0*(1+Вводные!$B$19))*(1-Вводные!$B$22-Вводные!$B$27)+(Модель!D17+Модель!D18+Модель!D19+Модель!D21))-MAX(0,((Вводные!$B$8*365*MIN((Вводные!$B$17+0.0),Вводные!$B$16+((Вводные!$B$17+0.0)-Вводные!$B$16)*MIN(1,0/Вводные!$B$18))*(Вводные!$B$14*(1+-0.05))*(1+Вводные!$B$15)^0*(1+Вводные!$B$19))*(1-Вводные!$B$22-Вводные!$B$27)+(Модель!D17+Модель!D18+Модель!D19+Модель!D21))+Модель!D32+Модель!D29)*Вводные!$B$39</f>
        <v/>
      </c>
      <c r="E17" s="60">
        <f>((Вводные!$B$8*365*MIN((Вводные!$B$17+0.0),Вводные!$B$16+((Вводные!$B$17+0.0)-Вводные!$B$16)*MIN(1,1/Вводные!$B$18))*(Вводные!$B$14*(1+-0.05))*(1+Вводные!$B$15)^1*(1+Вводные!$B$19))*(1-Вводные!$B$22-Вводные!$B$27)+(Модель!E17+Модель!E18+Модель!E19+Модель!E21))-MAX(0,((Вводные!$B$8*365*MIN((Вводные!$B$17+0.0),Вводные!$B$16+((Вводные!$B$17+0.0)-Вводные!$B$16)*MIN(1,1/Вводные!$B$18))*(Вводные!$B$14*(1+-0.05))*(1+Вводные!$B$15)^1*(1+Вводные!$B$19))*(1-Вводные!$B$22-Вводные!$B$27)+(Модель!E17+Модель!E18+Модель!E19+Модель!E21))+Модель!E32+Модель!E29)*Вводные!$B$39</f>
        <v/>
      </c>
      <c r="F17" s="60">
        <f>((Вводные!$B$8*365*MIN((Вводные!$B$17+0.0),Вводные!$B$16+((Вводные!$B$17+0.0)-Вводные!$B$16)*MIN(1,2/Вводные!$B$18))*(Вводные!$B$14*(1+-0.05))*(1+Вводные!$B$15)^2*(1+Вводные!$B$19))*(1-Вводные!$B$22-Вводные!$B$27)+(Модель!F17+Модель!F18+Модель!F19+Модель!F21))-MAX(0,((Вводные!$B$8*365*MIN((Вводные!$B$17+0.0),Вводные!$B$16+((Вводные!$B$17+0.0)-Вводные!$B$16)*MIN(1,2/Вводные!$B$18))*(Вводные!$B$14*(1+-0.05))*(1+Вводные!$B$15)^2*(1+Вводные!$B$19))*(1-Вводные!$B$22-Вводные!$B$27)+(Модель!F17+Модель!F18+Модель!F19+Модель!F21))+Модель!F32+Модель!F29)*Вводные!$B$39</f>
        <v/>
      </c>
      <c r="G17" s="60">
        <f>((Вводные!$B$8*365*MIN((Вводные!$B$17+0.0),Вводные!$B$16+((Вводные!$B$17+0.0)-Вводные!$B$16)*MIN(1,3/Вводные!$B$18))*(Вводные!$B$14*(1+-0.05))*(1+Вводные!$B$15)^3*(1+Вводные!$B$19))*(1-Вводные!$B$22-Вводные!$B$27)+(Модель!G17+Модель!G18+Модель!G19+Модель!G21))-MAX(0,((Вводные!$B$8*365*MIN((Вводные!$B$17+0.0),Вводные!$B$16+((Вводные!$B$17+0.0)-Вводные!$B$16)*MIN(1,3/Вводные!$B$18))*(Вводные!$B$14*(1+-0.05))*(1+Вводные!$B$15)^3*(1+Вводные!$B$19))*(1-Вводные!$B$22-Вводные!$B$27)+(Модель!G17+Модель!G18+Модель!G19+Модель!G21))+Модель!G32+Модель!G29)*Вводные!$B$39</f>
        <v/>
      </c>
      <c r="H17" s="60">
        <f>((Вводные!$B$8*365*MIN((Вводные!$B$17+0.0),Вводные!$B$16+((Вводные!$B$17+0.0)-Вводные!$B$16)*MIN(1,4/Вводные!$B$18))*(Вводные!$B$14*(1+-0.05))*(1+Вводные!$B$15)^4*(1+Вводные!$B$19))*(1-Вводные!$B$22-Вводные!$B$27)+(Модель!H17+Модель!H18+Модель!H19+Модель!H21))-MAX(0,((Вводные!$B$8*365*MIN((Вводные!$B$17+0.0),Вводные!$B$16+((Вводные!$B$17+0.0)-Вводные!$B$16)*MIN(1,4/Вводные!$B$18))*(Вводные!$B$14*(1+-0.05))*(1+Вводные!$B$15)^4*(1+Вводные!$B$19))*(1-Вводные!$B$22-Вводные!$B$27)+(Модель!H17+Модель!H18+Модель!H19+Модель!H21))+Модель!H32+Модель!H29)*Вводные!$B$39</f>
        <v/>
      </c>
      <c r="I17" s="60">
        <f>((Вводные!$B$8*365*MIN((Вводные!$B$17+0.0),Вводные!$B$16+((Вводные!$B$17+0.0)-Вводные!$B$16)*MIN(1,5/Вводные!$B$18))*(Вводные!$B$14*(1+-0.05))*(1+Вводные!$B$15)^5*(1+Вводные!$B$19))*(1-Вводные!$B$22-Вводные!$B$27)+(Модель!I17+Модель!I18+Модель!I19+Модель!I21))-MAX(0,((Вводные!$B$8*365*MIN((Вводные!$B$17+0.0),Вводные!$B$16+((Вводные!$B$17+0.0)-Вводные!$B$16)*MIN(1,5/Вводные!$B$18))*(Вводные!$B$14*(1+-0.05))*(1+Вводные!$B$15)^5*(1+Вводные!$B$19))*(1-Вводные!$B$22-Вводные!$B$27)+(Модель!I17+Модель!I18+Модель!I19+Модель!I21))+Модель!I32+Модель!I29)*Вводные!$B$39</f>
        <v/>
      </c>
      <c r="J17" s="60">
        <f>((Вводные!$B$8*365*MIN((Вводные!$B$17+0.0),Вводные!$B$16+((Вводные!$B$17+0.0)-Вводные!$B$16)*MIN(1,6/Вводные!$B$18))*(Вводные!$B$14*(1+-0.05))*(1+Вводные!$B$15)^6*(1+Вводные!$B$19))*(1-Вводные!$B$22-Вводные!$B$27)+(Модель!J17+Модель!J18+Модель!J19+Модель!J21))-MAX(0,((Вводные!$B$8*365*MIN((Вводные!$B$17+0.0),Вводные!$B$16+((Вводные!$B$17+0.0)-Вводные!$B$16)*MIN(1,6/Вводные!$B$18))*(Вводные!$B$14*(1+-0.05))*(1+Вводные!$B$15)^6*(1+Вводные!$B$19))*(1-Вводные!$B$22-Вводные!$B$27)+(Модель!J17+Модель!J18+Модель!J19+Модель!J21))+Модель!J32+Модель!J29)*Вводные!$B$39</f>
        <v/>
      </c>
      <c r="K17" s="60">
        <f>((Вводные!$B$8*365*MIN((Вводные!$B$17+0.0),Вводные!$B$16+((Вводные!$B$17+0.0)-Вводные!$B$16)*MIN(1,7/Вводные!$B$18))*(Вводные!$B$14*(1+-0.05))*(1+Вводные!$B$15)^7*(1+Вводные!$B$19))*(1-Вводные!$B$22-Вводные!$B$27)+(Модель!K17+Модель!K18+Модель!K19+Модель!K21))-MAX(0,((Вводные!$B$8*365*MIN((Вводные!$B$17+0.0),Вводные!$B$16+((Вводные!$B$17+0.0)-Вводные!$B$16)*MIN(1,7/Вводные!$B$18))*(Вводные!$B$14*(1+-0.05))*(1+Вводные!$B$15)^7*(1+Вводные!$B$19))*(1-Вводные!$B$22-Вводные!$B$27)+(Модель!K17+Модель!K18+Модель!K19+Модель!K21))+Модель!K32+Модель!K29)*Вводные!$B$39</f>
        <v/>
      </c>
      <c r="L17" s="60">
        <f>((Вводные!$B$8*365*MIN((Вводные!$B$17+0.0),Вводные!$B$16+((Вводные!$B$17+0.0)-Вводные!$B$16)*MIN(1,8/Вводные!$B$18))*(Вводные!$B$14*(1+-0.05))*(1+Вводные!$B$15)^8*(1+Вводные!$B$19))*(1-Вводные!$B$22-Вводные!$B$27)+(Модель!L17+Модель!L18+Модель!L19+Модель!L21))-MAX(0,((Вводные!$B$8*365*MIN((Вводные!$B$17+0.0),Вводные!$B$16+((Вводные!$B$17+0.0)-Вводные!$B$16)*MIN(1,8/Вводные!$B$18))*(Вводные!$B$14*(1+-0.05)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+0.0),Вводные!$B$16+((Вводные!$B$17+0.0)-Вводные!$B$16)*MIN(1,8/Вводные!$B$18))*(Вводные!$B$14*(1+-0.05))*(1+Вводные!$B$15)^8*(1+Вводные!$B$19))*(1-Вводные!$B$22-Вводные!$B$27)+(Модель!L17+Модель!L18+Модель!L19+Модель!L21))*Вводные!$B$40</f>
        <v/>
      </c>
      <c r="M17" s="51">
        <f>SUMPRODUCT(B17:L17,Модель!$B$42:$L$42)</f>
        <v/>
      </c>
      <c r="N17" s="59">
        <f>IFERROR(IRR(B17:L17),"—")</f>
        <v/>
      </c>
    </row>
    <row r="18">
      <c r="A18" s="48" t="inlineStr">
        <is>
          <t>Загрузка +0% · тариф +0%</t>
        </is>
      </c>
      <c r="B18" s="60">
        <f>Модель!B7</f>
        <v/>
      </c>
      <c r="C18" s="60">
        <f>Модель!C7</f>
        <v/>
      </c>
      <c r="D18" s="60">
        <f>((Вводные!$B$8*365*MIN((Вводные!$B$17+0.0),Вводные!$B$16+((Вводные!$B$17+0.0)-Вводные!$B$16)*MIN(1,0/Вводные!$B$18))*(Вводные!$B$14*(1+0.0))*(1+Вводные!$B$15)^0*(1+Вводные!$B$19))*(1-Вводные!$B$22-Вводные!$B$27)+(Модель!D17+Модель!D18+Модель!D19+Модель!D21))-MAX(0,((Вводные!$B$8*365*MIN((Вводные!$B$17+0.0),Вводные!$B$16+((Вводные!$B$17+0.0)-Вводные!$B$16)*MIN(1,0/Вводные!$B$18))*(Вводные!$B$14*(1+0.0))*(1+Вводные!$B$15)^0*(1+Вводные!$B$19))*(1-Вводные!$B$22-Вводные!$B$27)+(Модель!D17+Модель!D18+Модель!D19+Модель!D21))+Модель!D32+Модель!D29)*Вводные!$B$39</f>
        <v/>
      </c>
      <c r="E18" s="60">
        <f>((Вводные!$B$8*365*MIN((Вводные!$B$17+0.0),Вводные!$B$16+((Вводные!$B$17+0.0)-Вводные!$B$16)*MIN(1,1/Вводные!$B$18))*(Вводные!$B$14*(1+0.0))*(1+Вводные!$B$15)^1*(1+Вводные!$B$19))*(1-Вводные!$B$22-Вводные!$B$27)+(Модель!E17+Модель!E18+Модель!E19+Модель!E21))-MAX(0,((Вводные!$B$8*365*MIN((Вводные!$B$17+0.0),Вводные!$B$16+((Вводные!$B$17+0.0)-Вводные!$B$16)*MIN(1,1/Вводные!$B$18))*(Вводные!$B$14*(1+0.0))*(1+Вводные!$B$15)^1*(1+Вводные!$B$19))*(1-Вводные!$B$22-Вводные!$B$27)+(Модель!E17+Модель!E18+Модель!E19+Модель!E21))+Модель!E32+Модель!E29)*Вводные!$B$39</f>
        <v/>
      </c>
      <c r="F18" s="60">
        <f>((Вводные!$B$8*365*MIN((Вводные!$B$17+0.0),Вводные!$B$16+((Вводные!$B$17+0.0)-Вводные!$B$16)*MIN(1,2/Вводные!$B$18))*(Вводные!$B$14*(1+0.0))*(1+Вводные!$B$15)^2*(1+Вводные!$B$19))*(1-Вводные!$B$22-Вводные!$B$27)+(Модель!F17+Модель!F18+Модель!F19+Модель!F21))-MAX(0,((Вводные!$B$8*365*MIN((Вводные!$B$17+0.0),Вводные!$B$16+((Вводные!$B$17+0.0)-Вводные!$B$16)*MIN(1,2/Вводные!$B$18))*(Вводные!$B$14*(1+0.0))*(1+Вводные!$B$15)^2*(1+Вводные!$B$19))*(1-Вводные!$B$22-Вводные!$B$27)+(Модель!F17+Модель!F18+Модель!F19+Модель!F21))+Модель!F32+Модель!F29)*Вводные!$B$39</f>
        <v/>
      </c>
      <c r="G18" s="60">
        <f>((Вводные!$B$8*365*MIN((Вводные!$B$17+0.0),Вводные!$B$16+((Вводные!$B$17+0.0)-Вводные!$B$16)*MIN(1,3/Вводные!$B$18))*(Вводные!$B$14*(1+0.0))*(1+Вводные!$B$15)^3*(1+Вводные!$B$19))*(1-Вводные!$B$22-Вводные!$B$27)+(Модель!G17+Модель!G18+Модель!G19+Модель!G21))-MAX(0,((Вводные!$B$8*365*MIN((Вводные!$B$17+0.0),Вводные!$B$16+((Вводные!$B$17+0.0)-Вводные!$B$16)*MIN(1,3/Вводные!$B$18))*(Вводные!$B$14*(1+0.0))*(1+Вводные!$B$15)^3*(1+Вводные!$B$19))*(1-Вводные!$B$22-Вводные!$B$27)+(Модель!G17+Модель!G18+Модель!G19+Модель!G21))+Модель!G32+Модель!G29)*Вводные!$B$39</f>
        <v/>
      </c>
      <c r="H18" s="60">
        <f>((Вводные!$B$8*365*MIN((Вводные!$B$17+0.0),Вводные!$B$16+((Вводные!$B$17+0.0)-Вводные!$B$16)*MIN(1,4/Вводные!$B$18))*(Вводные!$B$14*(1+0.0))*(1+Вводные!$B$15)^4*(1+Вводные!$B$19))*(1-Вводные!$B$22-Вводные!$B$27)+(Модель!H17+Модель!H18+Модель!H19+Модель!H21))-MAX(0,((Вводные!$B$8*365*MIN((Вводные!$B$17+0.0),Вводные!$B$16+((Вводные!$B$17+0.0)-Вводные!$B$16)*MIN(1,4/Вводные!$B$18))*(Вводные!$B$14*(1+0.0))*(1+Вводные!$B$15)^4*(1+Вводные!$B$19))*(1-Вводные!$B$22-Вводные!$B$27)+(Модель!H17+Модель!H18+Модель!H19+Модель!H21))+Модель!H32+Модель!H29)*Вводные!$B$39</f>
        <v/>
      </c>
      <c r="I18" s="60">
        <f>((Вводные!$B$8*365*MIN((Вводные!$B$17+0.0),Вводные!$B$16+((Вводные!$B$17+0.0)-Вводные!$B$16)*MIN(1,5/Вводные!$B$18))*(Вводные!$B$14*(1+0.0))*(1+Вводные!$B$15)^5*(1+Вводные!$B$19))*(1-Вводные!$B$22-Вводные!$B$27)+(Модель!I17+Модель!I18+Модель!I19+Модель!I21))-MAX(0,((Вводные!$B$8*365*MIN((Вводные!$B$17+0.0),Вводные!$B$16+((Вводные!$B$17+0.0)-Вводные!$B$16)*MIN(1,5/Вводные!$B$18))*(Вводные!$B$14*(1+0.0))*(1+Вводные!$B$15)^5*(1+Вводные!$B$19))*(1-Вводные!$B$22-Вводные!$B$27)+(Модель!I17+Модель!I18+Модель!I19+Модель!I21))+Модель!I32+Модель!I29)*Вводные!$B$39</f>
        <v/>
      </c>
      <c r="J18" s="60">
        <f>((Вводные!$B$8*365*MIN((Вводные!$B$17+0.0),Вводные!$B$16+((Вводные!$B$17+0.0)-Вводные!$B$16)*MIN(1,6/Вводные!$B$18))*(Вводные!$B$14*(1+0.0))*(1+Вводные!$B$15)^6*(1+Вводные!$B$19))*(1-Вводные!$B$22-Вводные!$B$27)+(Модель!J17+Модель!J18+Модель!J19+Модель!J21))-MAX(0,((Вводные!$B$8*365*MIN((Вводные!$B$17+0.0),Вводные!$B$16+((Вводные!$B$17+0.0)-Вводные!$B$16)*MIN(1,6/Вводные!$B$18))*(Вводные!$B$14*(1+0.0))*(1+Вводные!$B$15)^6*(1+Вводные!$B$19))*(1-Вводные!$B$22-Вводные!$B$27)+(Модель!J17+Модель!J18+Модель!J19+Модель!J21))+Модель!J32+Модель!J29)*Вводные!$B$39</f>
        <v/>
      </c>
      <c r="K18" s="60">
        <f>((Вводные!$B$8*365*MIN((Вводные!$B$17+0.0),Вводные!$B$16+((Вводные!$B$17+0.0)-Вводные!$B$16)*MIN(1,7/Вводные!$B$18))*(Вводные!$B$14*(1+0.0))*(1+Вводные!$B$15)^7*(1+Вводные!$B$19))*(1-Вводные!$B$22-Вводные!$B$27)+(Модель!K17+Модель!K18+Модель!K19+Модель!K21))-MAX(0,((Вводные!$B$8*365*MIN((Вводные!$B$17+0.0),Вводные!$B$16+((Вводные!$B$17+0.0)-Вводные!$B$16)*MIN(1,7/Вводные!$B$18))*(Вводные!$B$14*(1+0.0))*(1+Вводные!$B$15)^7*(1+Вводные!$B$19))*(1-Вводные!$B$22-Вводные!$B$27)+(Модель!K17+Модель!K18+Модель!K19+Модель!K21))+Модель!K32+Модель!K29)*Вводные!$B$39</f>
        <v/>
      </c>
      <c r="L18" s="60">
        <f>((Вводные!$B$8*365*MIN((Вводные!$B$17+0.0),Вводные!$B$16+((Вводные!$B$17+0.0)-Вводные!$B$16)*MIN(1,8/Вводные!$B$18))*(Вводные!$B$14*(1+0.0))*(1+Вводные!$B$15)^8*(1+Вводные!$B$19))*(1-Вводные!$B$22-Вводные!$B$27)+(Модель!L17+Модель!L18+Модель!L19+Модель!L21))-MAX(0,((Вводные!$B$8*365*MIN((Вводные!$B$17+0.0),Вводные!$B$16+((Вводные!$B$17+0.0)-Вводные!$B$16)*MIN(1,8/Вводные!$B$18))*(Вводные!$B$14*(1+0.0)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+0.0),Вводные!$B$16+((Вводные!$B$17+0.0)-Вводные!$B$16)*MIN(1,8/Вводные!$B$18))*(Вводные!$B$14*(1+0.0))*(1+Вводные!$B$15)^8*(1+Вводные!$B$19))*(1-Вводные!$B$22-Вводные!$B$27)+(Модель!L17+Модель!L18+Модель!L19+Модель!L21))*Вводные!$B$40</f>
        <v/>
      </c>
      <c r="M18" s="51">
        <f>SUMPRODUCT(B18:L18,Модель!$B$42:$L$42)</f>
        <v/>
      </c>
      <c r="N18" s="59">
        <f>IFERROR(IRR(B18:L18),"—")</f>
        <v/>
      </c>
    </row>
    <row r="19">
      <c r="A19" s="48" t="inlineStr">
        <is>
          <t>Загрузка +0% · тариф +5%</t>
        </is>
      </c>
      <c r="B19" s="60">
        <f>Модель!B7</f>
        <v/>
      </c>
      <c r="C19" s="60">
        <f>Модель!C7</f>
        <v/>
      </c>
      <c r="D19" s="60">
        <f>((Вводные!$B$8*365*MIN((Вводные!$B$17+0.0),Вводные!$B$16+((Вводные!$B$17+0.0)-Вводные!$B$16)*MIN(1,0/Вводные!$B$18))*(Вводные!$B$14*(1+0.05))*(1+Вводные!$B$15)^0*(1+Вводные!$B$19))*(1-Вводные!$B$22-Вводные!$B$27)+(Модель!D17+Модель!D18+Модель!D19+Модель!D21))-MAX(0,((Вводные!$B$8*365*MIN((Вводные!$B$17+0.0),Вводные!$B$16+((Вводные!$B$17+0.0)-Вводные!$B$16)*MIN(1,0/Вводные!$B$18))*(Вводные!$B$14*(1+0.05))*(1+Вводные!$B$15)^0*(1+Вводные!$B$19))*(1-Вводные!$B$22-Вводные!$B$27)+(Модель!D17+Модель!D18+Модель!D19+Модель!D21))+Модель!D32+Модель!D29)*Вводные!$B$39</f>
        <v/>
      </c>
      <c r="E19" s="60">
        <f>((Вводные!$B$8*365*MIN((Вводные!$B$17+0.0),Вводные!$B$16+((Вводные!$B$17+0.0)-Вводные!$B$16)*MIN(1,1/Вводные!$B$18))*(Вводные!$B$14*(1+0.05))*(1+Вводные!$B$15)^1*(1+Вводные!$B$19))*(1-Вводные!$B$22-Вводные!$B$27)+(Модель!E17+Модель!E18+Модель!E19+Модель!E21))-MAX(0,((Вводные!$B$8*365*MIN((Вводные!$B$17+0.0),Вводные!$B$16+((Вводные!$B$17+0.0)-Вводные!$B$16)*MIN(1,1/Вводные!$B$18))*(Вводные!$B$14*(1+0.05))*(1+Вводные!$B$15)^1*(1+Вводные!$B$19))*(1-Вводные!$B$22-Вводные!$B$27)+(Модель!E17+Модель!E18+Модель!E19+Модель!E21))+Модель!E32+Модель!E29)*Вводные!$B$39</f>
        <v/>
      </c>
      <c r="F19" s="60">
        <f>((Вводные!$B$8*365*MIN((Вводные!$B$17+0.0),Вводные!$B$16+((Вводные!$B$17+0.0)-Вводные!$B$16)*MIN(1,2/Вводные!$B$18))*(Вводные!$B$14*(1+0.05))*(1+Вводные!$B$15)^2*(1+Вводные!$B$19))*(1-Вводные!$B$22-Вводные!$B$27)+(Модель!F17+Модель!F18+Модель!F19+Модель!F21))-MAX(0,((Вводные!$B$8*365*MIN((Вводные!$B$17+0.0),Вводные!$B$16+((Вводные!$B$17+0.0)-Вводные!$B$16)*MIN(1,2/Вводные!$B$18))*(Вводные!$B$14*(1+0.05))*(1+Вводные!$B$15)^2*(1+Вводные!$B$19))*(1-Вводные!$B$22-Вводные!$B$27)+(Модель!F17+Модель!F18+Модель!F19+Модель!F21))+Модель!F32+Модель!F29)*Вводные!$B$39</f>
        <v/>
      </c>
      <c r="G19" s="60">
        <f>((Вводные!$B$8*365*MIN((Вводные!$B$17+0.0),Вводные!$B$16+((Вводные!$B$17+0.0)-Вводные!$B$16)*MIN(1,3/Вводные!$B$18))*(Вводные!$B$14*(1+0.05))*(1+Вводные!$B$15)^3*(1+Вводные!$B$19))*(1-Вводные!$B$22-Вводные!$B$27)+(Модель!G17+Модель!G18+Модель!G19+Модель!G21))-MAX(0,((Вводные!$B$8*365*MIN((Вводные!$B$17+0.0),Вводные!$B$16+((Вводные!$B$17+0.0)-Вводные!$B$16)*MIN(1,3/Вводные!$B$18))*(Вводные!$B$14*(1+0.05))*(1+Вводные!$B$15)^3*(1+Вводные!$B$19))*(1-Вводные!$B$22-Вводные!$B$27)+(Модель!G17+Модель!G18+Модель!G19+Модель!G21))+Модель!G32+Модель!G29)*Вводные!$B$39</f>
        <v/>
      </c>
      <c r="H19" s="60">
        <f>((Вводные!$B$8*365*MIN((Вводные!$B$17+0.0),Вводные!$B$16+((Вводные!$B$17+0.0)-Вводные!$B$16)*MIN(1,4/Вводные!$B$18))*(Вводные!$B$14*(1+0.05))*(1+Вводные!$B$15)^4*(1+Вводные!$B$19))*(1-Вводные!$B$22-Вводные!$B$27)+(Модель!H17+Модель!H18+Модель!H19+Модель!H21))-MAX(0,((Вводные!$B$8*365*MIN((Вводные!$B$17+0.0),Вводные!$B$16+((Вводные!$B$17+0.0)-Вводные!$B$16)*MIN(1,4/Вводные!$B$18))*(Вводные!$B$14*(1+0.05))*(1+Вводные!$B$15)^4*(1+Вводные!$B$19))*(1-Вводные!$B$22-Вводные!$B$27)+(Модель!H17+Модель!H18+Модель!H19+Модель!H21))+Модель!H32+Модель!H29)*Вводные!$B$39</f>
        <v/>
      </c>
      <c r="I19" s="60">
        <f>((Вводные!$B$8*365*MIN((Вводные!$B$17+0.0),Вводные!$B$16+((Вводные!$B$17+0.0)-Вводные!$B$16)*MIN(1,5/Вводные!$B$18))*(Вводные!$B$14*(1+0.05))*(1+Вводные!$B$15)^5*(1+Вводные!$B$19))*(1-Вводные!$B$22-Вводные!$B$27)+(Модель!I17+Модель!I18+Модель!I19+Модель!I21))-MAX(0,((Вводные!$B$8*365*MIN((Вводные!$B$17+0.0),Вводные!$B$16+((Вводные!$B$17+0.0)-Вводные!$B$16)*MIN(1,5/Вводные!$B$18))*(Вводные!$B$14*(1+0.05))*(1+Вводные!$B$15)^5*(1+Вводные!$B$19))*(1-Вводные!$B$22-Вводные!$B$27)+(Модель!I17+Модель!I18+Модель!I19+Модель!I21))+Модель!I32+Модель!I29)*Вводные!$B$39</f>
        <v/>
      </c>
      <c r="J19" s="60">
        <f>((Вводные!$B$8*365*MIN((Вводные!$B$17+0.0),Вводные!$B$16+((Вводные!$B$17+0.0)-Вводные!$B$16)*MIN(1,6/Вводные!$B$18))*(Вводные!$B$14*(1+0.05))*(1+Вводные!$B$15)^6*(1+Вводные!$B$19))*(1-Вводные!$B$22-Вводные!$B$27)+(Модель!J17+Модель!J18+Модель!J19+Модель!J21))-MAX(0,((Вводные!$B$8*365*MIN((Вводные!$B$17+0.0),Вводные!$B$16+((Вводные!$B$17+0.0)-Вводные!$B$16)*MIN(1,6/Вводные!$B$18))*(Вводные!$B$14*(1+0.05))*(1+Вводные!$B$15)^6*(1+Вводные!$B$19))*(1-Вводные!$B$22-Вводные!$B$27)+(Модель!J17+Модель!J18+Модель!J19+Модель!J21))+Модель!J32+Модель!J29)*Вводные!$B$39</f>
        <v/>
      </c>
      <c r="K19" s="60">
        <f>((Вводные!$B$8*365*MIN((Вводные!$B$17+0.0),Вводные!$B$16+((Вводные!$B$17+0.0)-Вводные!$B$16)*MIN(1,7/Вводные!$B$18))*(Вводные!$B$14*(1+0.05))*(1+Вводные!$B$15)^7*(1+Вводные!$B$19))*(1-Вводные!$B$22-Вводные!$B$27)+(Модель!K17+Модель!K18+Модель!K19+Модель!K21))-MAX(0,((Вводные!$B$8*365*MIN((Вводные!$B$17+0.0),Вводные!$B$16+((Вводные!$B$17+0.0)-Вводные!$B$16)*MIN(1,7/Вводные!$B$18))*(Вводные!$B$14*(1+0.05))*(1+Вводные!$B$15)^7*(1+Вводные!$B$19))*(1-Вводные!$B$22-Вводные!$B$27)+(Модель!K17+Модель!K18+Модель!K19+Модель!K21))+Модель!K32+Модель!K29)*Вводные!$B$39</f>
        <v/>
      </c>
      <c r="L19" s="60">
        <f>((Вводные!$B$8*365*MIN((Вводные!$B$17+0.0),Вводные!$B$16+((Вводные!$B$17+0.0)-Вводные!$B$16)*MIN(1,8/Вводные!$B$18))*(Вводные!$B$14*(1+0.05))*(1+Вводные!$B$15)^8*(1+Вводные!$B$19))*(1-Вводные!$B$22-Вводные!$B$27)+(Модель!L17+Модель!L18+Модель!L19+Модель!L21))-MAX(0,((Вводные!$B$8*365*MIN((Вводные!$B$17+0.0),Вводные!$B$16+((Вводные!$B$17+0.0)-Вводные!$B$16)*MIN(1,8/Вводные!$B$18))*(Вводные!$B$14*(1+0.05)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+0.0),Вводные!$B$16+((Вводные!$B$17+0.0)-Вводные!$B$16)*MIN(1,8/Вводные!$B$18))*(Вводные!$B$14*(1+0.05))*(1+Вводные!$B$15)^8*(1+Вводные!$B$19))*(1-Вводные!$B$22-Вводные!$B$27)+(Модель!L17+Модель!L18+Модель!L19+Модель!L21))*Вводные!$B$40</f>
        <v/>
      </c>
      <c r="M19" s="51">
        <f>SUMPRODUCT(B19:L19,Модель!$B$42:$L$42)</f>
        <v/>
      </c>
      <c r="N19" s="59">
        <f>IFERROR(IRR(B19:L19),"—")</f>
        <v/>
      </c>
    </row>
    <row r="20">
      <c r="A20" s="48" t="inlineStr">
        <is>
          <t>Загрузка +0% · тариф +10%</t>
        </is>
      </c>
      <c r="B20" s="60">
        <f>Модель!B7</f>
        <v/>
      </c>
      <c r="C20" s="60">
        <f>Модель!C7</f>
        <v/>
      </c>
      <c r="D20" s="60">
        <f>((Вводные!$B$8*365*MIN((Вводные!$B$17+0.0),Вводные!$B$16+((Вводные!$B$17+0.0)-Вводные!$B$16)*MIN(1,0/Вводные!$B$18))*(Вводные!$B$14*(1+0.1))*(1+Вводные!$B$15)^0*(1+Вводные!$B$19))*(1-Вводные!$B$22-Вводные!$B$27)+(Модель!D17+Модель!D18+Модель!D19+Модель!D21))-MAX(0,((Вводные!$B$8*365*MIN((Вводные!$B$17+0.0),Вводные!$B$16+((Вводные!$B$17+0.0)-Вводные!$B$16)*MIN(1,0/Вводные!$B$18))*(Вводные!$B$14*(1+0.1))*(1+Вводные!$B$15)^0*(1+Вводные!$B$19))*(1-Вводные!$B$22-Вводные!$B$27)+(Модель!D17+Модель!D18+Модель!D19+Модель!D21))+Модель!D32+Модель!D29)*Вводные!$B$39</f>
        <v/>
      </c>
      <c r="E20" s="60">
        <f>((Вводные!$B$8*365*MIN((Вводные!$B$17+0.0),Вводные!$B$16+((Вводные!$B$17+0.0)-Вводные!$B$16)*MIN(1,1/Вводные!$B$18))*(Вводные!$B$14*(1+0.1))*(1+Вводные!$B$15)^1*(1+Вводные!$B$19))*(1-Вводные!$B$22-Вводные!$B$27)+(Модель!E17+Модель!E18+Модель!E19+Модель!E21))-MAX(0,((Вводные!$B$8*365*MIN((Вводные!$B$17+0.0),Вводные!$B$16+((Вводные!$B$17+0.0)-Вводные!$B$16)*MIN(1,1/Вводные!$B$18))*(Вводные!$B$14*(1+0.1))*(1+Вводные!$B$15)^1*(1+Вводные!$B$19))*(1-Вводные!$B$22-Вводные!$B$27)+(Модель!E17+Модель!E18+Модель!E19+Модель!E21))+Модель!E32+Модель!E29)*Вводные!$B$39</f>
        <v/>
      </c>
      <c r="F20" s="60">
        <f>((Вводные!$B$8*365*MIN((Вводные!$B$17+0.0),Вводные!$B$16+((Вводные!$B$17+0.0)-Вводные!$B$16)*MIN(1,2/Вводные!$B$18))*(Вводные!$B$14*(1+0.1))*(1+Вводные!$B$15)^2*(1+Вводные!$B$19))*(1-Вводные!$B$22-Вводные!$B$27)+(Модель!F17+Модель!F18+Модель!F19+Модель!F21))-MAX(0,((Вводные!$B$8*365*MIN((Вводные!$B$17+0.0),Вводные!$B$16+((Вводные!$B$17+0.0)-Вводные!$B$16)*MIN(1,2/Вводные!$B$18))*(Вводные!$B$14*(1+0.1))*(1+Вводные!$B$15)^2*(1+Вводные!$B$19))*(1-Вводные!$B$22-Вводные!$B$27)+(Модель!F17+Модель!F18+Модель!F19+Модель!F21))+Модель!F32+Модель!F29)*Вводные!$B$39</f>
        <v/>
      </c>
      <c r="G20" s="60">
        <f>((Вводные!$B$8*365*MIN((Вводные!$B$17+0.0),Вводные!$B$16+((Вводные!$B$17+0.0)-Вводные!$B$16)*MIN(1,3/Вводные!$B$18))*(Вводные!$B$14*(1+0.1))*(1+Вводные!$B$15)^3*(1+Вводные!$B$19))*(1-Вводные!$B$22-Вводные!$B$27)+(Модель!G17+Модель!G18+Модель!G19+Модель!G21))-MAX(0,((Вводные!$B$8*365*MIN((Вводные!$B$17+0.0),Вводные!$B$16+((Вводные!$B$17+0.0)-Вводные!$B$16)*MIN(1,3/Вводные!$B$18))*(Вводные!$B$14*(1+0.1))*(1+Вводные!$B$15)^3*(1+Вводные!$B$19))*(1-Вводные!$B$22-Вводные!$B$27)+(Модель!G17+Модель!G18+Модель!G19+Модель!G21))+Модель!G32+Модель!G29)*Вводные!$B$39</f>
        <v/>
      </c>
      <c r="H20" s="60">
        <f>((Вводные!$B$8*365*MIN((Вводные!$B$17+0.0),Вводные!$B$16+((Вводные!$B$17+0.0)-Вводные!$B$16)*MIN(1,4/Вводные!$B$18))*(Вводные!$B$14*(1+0.1))*(1+Вводные!$B$15)^4*(1+Вводные!$B$19))*(1-Вводные!$B$22-Вводные!$B$27)+(Модель!H17+Модель!H18+Модель!H19+Модель!H21))-MAX(0,((Вводные!$B$8*365*MIN((Вводные!$B$17+0.0),Вводные!$B$16+((Вводные!$B$17+0.0)-Вводные!$B$16)*MIN(1,4/Вводные!$B$18))*(Вводные!$B$14*(1+0.1))*(1+Вводные!$B$15)^4*(1+Вводные!$B$19))*(1-Вводные!$B$22-Вводные!$B$27)+(Модель!H17+Модель!H18+Модель!H19+Модель!H21))+Модель!H32+Модель!H29)*Вводные!$B$39</f>
        <v/>
      </c>
      <c r="I20" s="60">
        <f>((Вводные!$B$8*365*MIN((Вводные!$B$17+0.0),Вводные!$B$16+((Вводные!$B$17+0.0)-Вводные!$B$16)*MIN(1,5/Вводные!$B$18))*(Вводные!$B$14*(1+0.1))*(1+Вводные!$B$15)^5*(1+Вводные!$B$19))*(1-Вводные!$B$22-Вводные!$B$27)+(Модель!I17+Модель!I18+Модель!I19+Модель!I21))-MAX(0,((Вводные!$B$8*365*MIN((Вводные!$B$17+0.0),Вводные!$B$16+((Вводные!$B$17+0.0)-Вводные!$B$16)*MIN(1,5/Вводные!$B$18))*(Вводные!$B$14*(1+0.1))*(1+Вводные!$B$15)^5*(1+Вводные!$B$19))*(1-Вводные!$B$22-Вводные!$B$27)+(Модель!I17+Модель!I18+Модель!I19+Модель!I21))+Модель!I32+Модель!I29)*Вводные!$B$39</f>
        <v/>
      </c>
      <c r="J20" s="60">
        <f>((Вводные!$B$8*365*MIN((Вводные!$B$17+0.0),Вводные!$B$16+((Вводные!$B$17+0.0)-Вводные!$B$16)*MIN(1,6/Вводные!$B$18))*(Вводные!$B$14*(1+0.1))*(1+Вводные!$B$15)^6*(1+Вводные!$B$19))*(1-Вводные!$B$22-Вводные!$B$27)+(Модель!J17+Модель!J18+Модель!J19+Модель!J21))-MAX(0,((Вводные!$B$8*365*MIN((Вводные!$B$17+0.0),Вводные!$B$16+((Вводные!$B$17+0.0)-Вводные!$B$16)*MIN(1,6/Вводные!$B$18))*(Вводные!$B$14*(1+0.1))*(1+Вводные!$B$15)^6*(1+Вводные!$B$19))*(1-Вводные!$B$22-Вводные!$B$27)+(Модель!J17+Модель!J18+Модель!J19+Модель!J21))+Модель!J32+Модель!J29)*Вводные!$B$39</f>
        <v/>
      </c>
      <c r="K20" s="60">
        <f>((Вводные!$B$8*365*MIN((Вводные!$B$17+0.0),Вводные!$B$16+((Вводные!$B$17+0.0)-Вводные!$B$16)*MIN(1,7/Вводные!$B$18))*(Вводные!$B$14*(1+0.1))*(1+Вводные!$B$15)^7*(1+Вводные!$B$19))*(1-Вводные!$B$22-Вводные!$B$27)+(Модель!K17+Модель!K18+Модель!K19+Модель!K21))-MAX(0,((Вводные!$B$8*365*MIN((Вводные!$B$17+0.0),Вводные!$B$16+((Вводные!$B$17+0.0)-Вводные!$B$16)*MIN(1,7/Вводные!$B$18))*(Вводные!$B$14*(1+0.1))*(1+Вводные!$B$15)^7*(1+Вводные!$B$19))*(1-Вводные!$B$22-Вводные!$B$27)+(Модель!K17+Модель!K18+Модель!K19+Модель!K21))+Модель!K32+Модель!K29)*Вводные!$B$39</f>
        <v/>
      </c>
      <c r="L20" s="60">
        <f>((Вводные!$B$8*365*MIN((Вводные!$B$17+0.0),Вводные!$B$16+((Вводные!$B$17+0.0)-Вводные!$B$16)*MIN(1,8/Вводные!$B$18))*(Вводные!$B$14*(1+0.1))*(1+Вводные!$B$15)^8*(1+Вводные!$B$19))*(1-Вводные!$B$22-Вводные!$B$27)+(Модель!L17+Модель!L18+Модель!L19+Модель!L21))-MAX(0,((Вводные!$B$8*365*MIN((Вводные!$B$17+0.0),Вводные!$B$16+((Вводные!$B$17+0.0)-Вводные!$B$16)*MIN(1,8/Вводные!$B$18))*(Вводные!$B$14*(1+0.1)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+0.0),Вводные!$B$16+((Вводные!$B$17+0.0)-Вводные!$B$16)*MIN(1,8/Вводные!$B$18))*(Вводные!$B$14*(1+0.1))*(1+Вводные!$B$15)^8*(1+Вводные!$B$19))*(1-Вводные!$B$22-Вводные!$B$27)+(Модель!L17+Модель!L18+Модель!L19+Модель!L21))*Вводные!$B$40</f>
        <v/>
      </c>
      <c r="M20" s="51">
        <f>SUMPRODUCT(B20:L20,Модель!$B$42:$L$42)</f>
        <v/>
      </c>
      <c r="N20" s="59">
        <f>IFERROR(IRR(B20:L20),"—")</f>
        <v/>
      </c>
    </row>
    <row r="21">
      <c r="A21" s="48" t="inlineStr">
        <is>
          <t>Загрузка +5% · тариф -10%</t>
        </is>
      </c>
      <c r="B21" s="60">
        <f>Модель!B7</f>
        <v/>
      </c>
      <c r="C21" s="60">
        <f>Модель!C7</f>
        <v/>
      </c>
      <c r="D21" s="60">
        <f>((Вводные!$B$8*365*MIN((Вводные!$B$17+0.05),Вводные!$B$16+((Вводные!$B$17+0.05)-Вводные!$B$16)*MIN(1,0/Вводные!$B$18))*(Вводные!$B$14*(1+-0.1))*(1+Вводные!$B$15)^0*(1+Вводные!$B$19))*(1-Вводные!$B$22-Вводные!$B$27)+(Модель!D17+Модель!D18+Модель!D19+Модель!D21))-MAX(0,((Вводные!$B$8*365*MIN((Вводные!$B$17+0.05),Вводные!$B$16+((Вводные!$B$17+0.05)-Вводные!$B$16)*MIN(1,0/Вводные!$B$18))*(Вводные!$B$14*(1+-0.1))*(1+Вводные!$B$15)^0*(1+Вводные!$B$19))*(1-Вводные!$B$22-Вводные!$B$27)+(Модель!D17+Модель!D18+Модель!D19+Модель!D21))+Модель!D32+Модель!D29)*Вводные!$B$39</f>
        <v/>
      </c>
      <c r="E21" s="60">
        <f>((Вводные!$B$8*365*MIN((Вводные!$B$17+0.05),Вводные!$B$16+((Вводные!$B$17+0.05)-Вводные!$B$16)*MIN(1,1/Вводные!$B$18))*(Вводные!$B$14*(1+-0.1))*(1+Вводные!$B$15)^1*(1+Вводные!$B$19))*(1-Вводные!$B$22-Вводные!$B$27)+(Модель!E17+Модель!E18+Модель!E19+Модель!E21))-MAX(0,((Вводные!$B$8*365*MIN((Вводные!$B$17+0.05),Вводные!$B$16+((Вводные!$B$17+0.05)-Вводные!$B$16)*MIN(1,1/Вводные!$B$18))*(Вводные!$B$14*(1+-0.1))*(1+Вводные!$B$15)^1*(1+Вводные!$B$19))*(1-Вводные!$B$22-Вводные!$B$27)+(Модель!E17+Модель!E18+Модель!E19+Модель!E21))+Модель!E32+Модель!E29)*Вводные!$B$39</f>
        <v/>
      </c>
      <c r="F21" s="60">
        <f>((Вводные!$B$8*365*MIN((Вводные!$B$17+0.05),Вводные!$B$16+((Вводные!$B$17+0.05)-Вводные!$B$16)*MIN(1,2/Вводные!$B$18))*(Вводные!$B$14*(1+-0.1))*(1+Вводные!$B$15)^2*(1+Вводные!$B$19))*(1-Вводные!$B$22-Вводные!$B$27)+(Модель!F17+Модель!F18+Модель!F19+Модель!F21))-MAX(0,((Вводные!$B$8*365*MIN((Вводные!$B$17+0.05),Вводные!$B$16+((Вводные!$B$17+0.05)-Вводные!$B$16)*MIN(1,2/Вводные!$B$18))*(Вводные!$B$14*(1+-0.1))*(1+Вводные!$B$15)^2*(1+Вводные!$B$19))*(1-Вводные!$B$22-Вводные!$B$27)+(Модель!F17+Модель!F18+Модель!F19+Модель!F21))+Модель!F32+Модель!F29)*Вводные!$B$39</f>
        <v/>
      </c>
      <c r="G21" s="60">
        <f>((Вводные!$B$8*365*MIN((Вводные!$B$17+0.05),Вводные!$B$16+((Вводные!$B$17+0.05)-Вводные!$B$16)*MIN(1,3/Вводные!$B$18))*(Вводные!$B$14*(1+-0.1))*(1+Вводные!$B$15)^3*(1+Вводные!$B$19))*(1-Вводные!$B$22-Вводные!$B$27)+(Модель!G17+Модель!G18+Модель!G19+Модель!G21))-MAX(0,((Вводные!$B$8*365*MIN((Вводные!$B$17+0.05),Вводные!$B$16+((Вводные!$B$17+0.05)-Вводные!$B$16)*MIN(1,3/Вводные!$B$18))*(Вводные!$B$14*(1+-0.1))*(1+Вводные!$B$15)^3*(1+Вводные!$B$19))*(1-Вводные!$B$22-Вводные!$B$27)+(Модель!G17+Модель!G18+Модель!G19+Модель!G21))+Модель!G32+Модель!G29)*Вводные!$B$39</f>
        <v/>
      </c>
      <c r="H21" s="60">
        <f>((Вводные!$B$8*365*MIN((Вводные!$B$17+0.05),Вводные!$B$16+((Вводные!$B$17+0.05)-Вводные!$B$16)*MIN(1,4/Вводные!$B$18))*(Вводные!$B$14*(1+-0.1))*(1+Вводные!$B$15)^4*(1+Вводные!$B$19))*(1-Вводные!$B$22-Вводные!$B$27)+(Модель!H17+Модель!H18+Модель!H19+Модель!H21))-MAX(0,((Вводные!$B$8*365*MIN((Вводные!$B$17+0.05),Вводные!$B$16+((Вводные!$B$17+0.05)-Вводные!$B$16)*MIN(1,4/Вводные!$B$18))*(Вводные!$B$14*(1+-0.1))*(1+Вводные!$B$15)^4*(1+Вводные!$B$19))*(1-Вводные!$B$22-Вводные!$B$27)+(Модель!H17+Модель!H18+Модель!H19+Модель!H21))+Модель!H32+Модель!H29)*Вводные!$B$39</f>
        <v/>
      </c>
      <c r="I21" s="60">
        <f>((Вводные!$B$8*365*MIN((Вводные!$B$17+0.05),Вводные!$B$16+((Вводные!$B$17+0.05)-Вводные!$B$16)*MIN(1,5/Вводные!$B$18))*(Вводные!$B$14*(1+-0.1))*(1+Вводные!$B$15)^5*(1+Вводные!$B$19))*(1-Вводные!$B$22-Вводные!$B$27)+(Модель!I17+Модель!I18+Модель!I19+Модель!I21))-MAX(0,((Вводные!$B$8*365*MIN((Вводные!$B$17+0.05),Вводные!$B$16+((Вводные!$B$17+0.05)-Вводные!$B$16)*MIN(1,5/Вводные!$B$18))*(Вводные!$B$14*(1+-0.1))*(1+Вводные!$B$15)^5*(1+Вводные!$B$19))*(1-Вводные!$B$22-Вводные!$B$27)+(Модель!I17+Модель!I18+Модель!I19+Модель!I21))+Модель!I32+Модель!I29)*Вводные!$B$39</f>
        <v/>
      </c>
      <c r="J21" s="60">
        <f>((Вводные!$B$8*365*MIN((Вводные!$B$17+0.05),Вводные!$B$16+((Вводные!$B$17+0.05)-Вводные!$B$16)*MIN(1,6/Вводные!$B$18))*(Вводные!$B$14*(1+-0.1))*(1+Вводные!$B$15)^6*(1+Вводные!$B$19))*(1-Вводные!$B$22-Вводные!$B$27)+(Модель!J17+Модель!J18+Модель!J19+Модель!J21))-MAX(0,((Вводные!$B$8*365*MIN((Вводные!$B$17+0.05),Вводные!$B$16+((Вводные!$B$17+0.05)-Вводные!$B$16)*MIN(1,6/Вводные!$B$18))*(Вводные!$B$14*(1+-0.1))*(1+Вводные!$B$15)^6*(1+Вводные!$B$19))*(1-Вводные!$B$22-Вводные!$B$27)+(Модель!J17+Модель!J18+Модель!J19+Модель!J21))+Модель!J32+Модель!J29)*Вводные!$B$39</f>
        <v/>
      </c>
      <c r="K21" s="60">
        <f>((Вводные!$B$8*365*MIN((Вводные!$B$17+0.05),Вводные!$B$16+((Вводные!$B$17+0.05)-Вводные!$B$16)*MIN(1,7/Вводные!$B$18))*(Вводные!$B$14*(1+-0.1))*(1+Вводные!$B$15)^7*(1+Вводные!$B$19))*(1-Вводные!$B$22-Вводные!$B$27)+(Модель!K17+Модель!K18+Модель!K19+Модель!K21))-MAX(0,((Вводные!$B$8*365*MIN((Вводные!$B$17+0.05),Вводные!$B$16+((Вводные!$B$17+0.05)-Вводные!$B$16)*MIN(1,7/Вводные!$B$18))*(Вводные!$B$14*(1+-0.1))*(1+Вводные!$B$15)^7*(1+Вводные!$B$19))*(1-Вводные!$B$22-Вводные!$B$27)+(Модель!K17+Модель!K18+Модель!K19+Модель!K21))+Модель!K32+Модель!K29)*Вводные!$B$39</f>
        <v/>
      </c>
      <c r="L21" s="60">
        <f>((Вводные!$B$8*365*MIN((Вводные!$B$17+0.05),Вводные!$B$16+((Вводные!$B$17+0.05)-Вводные!$B$16)*MIN(1,8/Вводные!$B$18))*(Вводные!$B$14*(1+-0.1))*(1+Вводные!$B$15)^8*(1+Вводные!$B$19))*(1-Вводные!$B$22-Вводные!$B$27)+(Модель!L17+Модель!L18+Модель!L19+Модель!L21))-MAX(0,((Вводные!$B$8*365*MIN((Вводные!$B$17+0.05),Вводные!$B$16+((Вводные!$B$17+0.05)-Вводные!$B$16)*MIN(1,8/Вводные!$B$18))*(Вводные!$B$14*(1+-0.1)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+0.05),Вводные!$B$16+((Вводные!$B$17+0.05)-Вводные!$B$16)*MIN(1,8/Вводные!$B$18))*(Вводные!$B$14*(1+-0.1))*(1+Вводные!$B$15)^8*(1+Вводные!$B$19))*(1-Вводные!$B$22-Вводные!$B$27)+(Модель!L17+Модель!L18+Модель!L19+Модель!L21))*Вводные!$B$40</f>
        <v/>
      </c>
      <c r="M21" s="51">
        <f>SUMPRODUCT(B21:L21,Модель!$B$42:$L$42)</f>
        <v/>
      </c>
      <c r="N21" s="59">
        <f>IFERROR(IRR(B21:L21),"—")</f>
        <v/>
      </c>
    </row>
    <row r="22">
      <c r="A22" s="48" t="inlineStr">
        <is>
          <t>Загрузка +5% · тариф -5%</t>
        </is>
      </c>
      <c r="B22" s="60">
        <f>Модель!B7</f>
        <v/>
      </c>
      <c r="C22" s="60">
        <f>Модель!C7</f>
        <v/>
      </c>
      <c r="D22" s="60">
        <f>((Вводные!$B$8*365*MIN((Вводные!$B$17+0.05),Вводные!$B$16+((Вводные!$B$17+0.05)-Вводные!$B$16)*MIN(1,0/Вводные!$B$18))*(Вводные!$B$14*(1+-0.05))*(1+Вводные!$B$15)^0*(1+Вводные!$B$19))*(1-Вводные!$B$22-Вводные!$B$27)+(Модель!D17+Модель!D18+Модель!D19+Модель!D21))-MAX(0,((Вводные!$B$8*365*MIN((Вводные!$B$17+0.05),Вводные!$B$16+((Вводные!$B$17+0.05)-Вводные!$B$16)*MIN(1,0/Вводные!$B$18))*(Вводные!$B$14*(1+-0.05))*(1+Вводные!$B$15)^0*(1+Вводные!$B$19))*(1-Вводные!$B$22-Вводные!$B$27)+(Модель!D17+Модель!D18+Модель!D19+Модель!D21))+Модель!D32+Модель!D29)*Вводные!$B$39</f>
        <v/>
      </c>
      <c r="E22" s="60">
        <f>((Вводные!$B$8*365*MIN((Вводные!$B$17+0.05),Вводные!$B$16+((Вводные!$B$17+0.05)-Вводные!$B$16)*MIN(1,1/Вводные!$B$18))*(Вводные!$B$14*(1+-0.05))*(1+Вводные!$B$15)^1*(1+Вводные!$B$19))*(1-Вводные!$B$22-Вводные!$B$27)+(Модель!E17+Модель!E18+Модель!E19+Модель!E21))-MAX(0,((Вводные!$B$8*365*MIN((Вводные!$B$17+0.05),Вводные!$B$16+((Вводные!$B$17+0.05)-Вводные!$B$16)*MIN(1,1/Вводные!$B$18))*(Вводные!$B$14*(1+-0.05))*(1+Вводные!$B$15)^1*(1+Вводные!$B$19))*(1-Вводные!$B$22-Вводные!$B$27)+(Модель!E17+Модель!E18+Модель!E19+Модель!E21))+Модель!E32+Модель!E29)*Вводные!$B$39</f>
        <v/>
      </c>
      <c r="F22" s="60">
        <f>((Вводные!$B$8*365*MIN((Вводные!$B$17+0.05),Вводные!$B$16+((Вводные!$B$17+0.05)-Вводные!$B$16)*MIN(1,2/Вводные!$B$18))*(Вводные!$B$14*(1+-0.05))*(1+Вводные!$B$15)^2*(1+Вводные!$B$19))*(1-Вводные!$B$22-Вводные!$B$27)+(Модель!F17+Модель!F18+Модель!F19+Модель!F21))-MAX(0,((Вводные!$B$8*365*MIN((Вводные!$B$17+0.05),Вводные!$B$16+((Вводные!$B$17+0.05)-Вводные!$B$16)*MIN(1,2/Вводные!$B$18))*(Вводные!$B$14*(1+-0.05))*(1+Вводные!$B$15)^2*(1+Вводные!$B$19))*(1-Вводные!$B$22-Вводные!$B$27)+(Модель!F17+Модель!F18+Модель!F19+Модель!F21))+Модель!F32+Модель!F29)*Вводные!$B$39</f>
        <v/>
      </c>
      <c r="G22" s="60">
        <f>((Вводные!$B$8*365*MIN((Вводные!$B$17+0.05),Вводные!$B$16+((Вводные!$B$17+0.05)-Вводные!$B$16)*MIN(1,3/Вводные!$B$18))*(Вводные!$B$14*(1+-0.05))*(1+Вводные!$B$15)^3*(1+Вводные!$B$19))*(1-Вводные!$B$22-Вводные!$B$27)+(Модель!G17+Модель!G18+Модель!G19+Модель!G21))-MAX(0,((Вводные!$B$8*365*MIN((Вводные!$B$17+0.05),Вводные!$B$16+((Вводные!$B$17+0.05)-Вводные!$B$16)*MIN(1,3/Вводные!$B$18))*(Вводные!$B$14*(1+-0.05))*(1+Вводные!$B$15)^3*(1+Вводные!$B$19))*(1-Вводные!$B$22-Вводные!$B$27)+(Модель!G17+Модель!G18+Модель!G19+Модель!G21))+Модель!G32+Модель!G29)*Вводные!$B$39</f>
        <v/>
      </c>
      <c r="H22" s="60">
        <f>((Вводные!$B$8*365*MIN((Вводные!$B$17+0.05),Вводные!$B$16+((Вводные!$B$17+0.05)-Вводные!$B$16)*MIN(1,4/Вводные!$B$18))*(Вводные!$B$14*(1+-0.05))*(1+Вводные!$B$15)^4*(1+Вводные!$B$19))*(1-Вводные!$B$22-Вводные!$B$27)+(Модель!H17+Модель!H18+Модель!H19+Модель!H21))-MAX(0,((Вводные!$B$8*365*MIN((Вводные!$B$17+0.05),Вводные!$B$16+((Вводные!$B$17+0.05)-Вводные!$B$16)*MIN(1,4/Вводные!$B$18))*(Вводные!$B$14*(1+-0.05))*(1+Вводные!$B$15)^4*(1+Вводные!$B$19))*(1-Вводные!$B$22-Вводные!$B$27)+(Модель!H17+Модель!H18+Модель!H19+Модель!H21))+Модель!H32+Модель!H29)*Вводные!$B$39</f>
        <v/>
      </c>
      <c r="I22" s="60">
        <f>((Вводные!$B$8*365*MIN((Вводные!$B$17+0.05),Вводные!$B$16+((Вводные!$B$17+0.05)-Вводные!$B$16)*MIN(1,5/Вводные!$B$18))*(Вводные!$B$14*(1+-0.05))*(1+Вводные!$B$15)^5*(1+Вводные!$B$19))*(1-Вводные!$B$22-Вводные!$B$27)+(Модель!I17+Модель!I18+Модель!I19+Модель!I21))-MAX(0,((Вводные!$B$8*365*MIN((Вводные!$B$17+0.05),Вводные!$B$16+((Вводные!$B$17+0.05)-Вводные!$B$16)*MIN(1,5/Вводные!$B$18))*(Вводные!$B$14*(1+-0.05))*(1+Вводные!$B$15)^5*(1+Вводные!$B$19))*(1-Вводные!$B$22-Вводные!$B$27)+(Модель!I17+Модель!I18+Модель!I19+Модель!I21))+Модель!I32+Модель!I29)*Вводные!$B$39</f>
        <v/>
      </c>
      <c r="J22" s="60">
        <f>((Вводные!$B$8*365*MIN((Вводные!$B$17+0.05),Вводные!$B$16+((Вводные!$B$17+0.05)-Вводные!$B$16)*MIN(1,6/Вводные!$B$18))*(Вводные!$B$14*(1+-0.05))*(1+Вводные!$B$15)^6*(1+Вводные!$B$19))*(1-Вводные!$B$22-Вводные!$B$27)+(Модель!J17+Модель!J18+Модель!J19+Модель!J21))-MAX(0,((Вводные!$B$8*365*MIN((Вводные!$B$17+0.05),Вводные!$B$16+((Вводные!$B$17+0.05)-Вводные!$B$16)*MIN(1,6/Вводные!$B$18))*(Вводные!$B$14*(1+-0.05))*(1+Вводные!$B$15)^6*(1+Вводные!$B$19))*(1-Вводные!$B$22-Вводные!$B$27)+(Модель!J17+Модель!J18+Модель!J19+Модель!J21))+Модель!J32+Модель!J29)*Вводные!$B$39</f>
        <v/>
      </c>
      <c r="K22" s="60">
        <f>((Вводные!$B$8*365*MIN((Вводные!$B$17+0.05),Вводные!$B$16+((Вводные!$B$17+0.05)-Вводные!$B$16)*MIN(1,7/Вводные!$B$18))*(Вводные!$B$14*(1+-0.05))*(1+Вводные!$B$15)^7*(1+Вводные!$B$19))*(1-Вводные!$B$22-Вводные!$B$27)+(Модель!K17+Модель!K18+Модель!K19+Модель!K21))-MAX(0,((Вводные!$B$8*365*MIN((Вводные!$B$17+0.05),Вводные!$B$16+((Вводные!$B$17+0.05)-Вводные!$B$16)*MIN(1,7/Вводные!$B$18))*(Вводные!$B$14*(1+-0.05))*(1+Вводные!$B$15)^7*(1+Вводные!$B$19))*(1-Вводные!$B$22-Вводные!$B$27)+(Модель!K17+Модель!K18+Модель!K19+Модель!K21))+Модель!K32+Модель!K29)*Вводные!$B$39</f>
        <v/>
      </c>
      <c r="L22" s="60">
        <f>((Вводные!$B$8*365*MIN((Вводные!$B$17+0.05),Вводные!$B$16+((Вводные!$B$17+0.05)-Вводные!$B$16)*MIN(1,8/Вводные!$B$18))*(Вводные!$B$14*(1+-0.05))*(1+Вводные!$B$15)^8*(1+Вводные!$B$19))*(1-Вводные!$B$22-Вводные!$B$27)+(Модель!L17+Модель!L18+Модель!L19+Модель!L21))-MAX(0,((Вводные!$B$8*365*MIN((Вводные!$B$17+0.05),Вводные!$B$16+((Вводные!$B$17+0.05)-Вводные!$B$16)*MIN(1,8/Вводные!$B$18))*(Вводные!$B$14*(1+-0.05)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+0.05),Вводные!$B$16+((Вводные!$B$17+0.05)-Вводные!$B$16)*MIN(1,8/Вводные!$B$18))*(Вводные!$B$14*(1+-0.05))*(1+Вводные!$B$15)^8*(1+Вводные!$B$19))*(1-Вводные!$B$22-Вводные!$B$27)+(Модель!L17+Модель!L18+Модель!L19+Модель!L21))*Вводные!$B$40</f>
        <v/>
      </c>
      <c r="M22" s="51">
        <f>SUMPRODUCT(B22:L22,Модель!$B$42:$L$42)</f>
        <v/>
      </c>
      <c r="N22" s="59">
        <f>IFERROR(IRR(B22:L22),"—")</f>
        <v/>
      </c>
    </row>
    <row r="23">
      <c r="A23" s="48" t="inlineStr">
        <is>
          <t>Загрузка +5% · тариф +0%</t>
        </is>
      </c>
      <c r="B23" s="60">
        <f>Модель!B7</f>
        <v/>
      </c>
      <c r="C23" s="60">
        <f>Модель!C7</f>
        <v/>
      </c>
      <c r="D23" s="60">
        <f>((Вводные!$B$8*365*MIN((Вводные!$B$17+0.05),Вводные!$B$16+((Вводные!$B$17+0.05)-Вводные!$B$16)*MIN(1,0/Вводные!$B$18))*(Вводные!$B$14*(1+0.0))*(1+Вводные!$B$15)^0*(1+Вводные!$B$19))*(1-Вводные!$B$22-Вводные!$B$27)+(Модель!D17+Модель!D18+Модель!D19+Модель!D21))-MAX(0,((Вводные!$B$8*365*MIN((Вводные!$B$17+0.05),Вводные!$B$16+((Вводные!$B$17+0.05)-Вводные!$B$16)*MIN(1,0/Вводные!$B$18))*(Вводные!$B$14*(1+0.0))*(1+Вводные!$B$15)^0*(1+Вводные!$B$19))*(1-Вводные!$B$22-Вводные!$B$27)+(Модель!D17+Модель!D18+Модель!D19+Модель!D21))+Модель!D32+Модель!D29)*Вводные!$B$39</f>
        <v/>
      </c>
      <c r="E23" s="60">
        <f>((Вводные!$B$8*365*MIN((Вводные!$B$17+0.05),Вводные!$B$16+((Вводные!$B$17+0.05)-Вводные!$B$16)*MIN(1,1/Вводные!$B$18))*(Вводные!$B$14*(1+0.0))*(1+Вводные!$B$15)^1*(1+Вводные!$B$19))*(1-Вводные!$B$22-Вводные!$B$27)+(Модель!E17+Модель!E18+Модель!E19+Модель!E21))-MAX(0,((Вводные!$B$8*365*MIN((Вводные!$B$17+0.05),Вводные!$B$16+((Вводные!$B$17+0.05)-Вводные!$B$16)*MIN(1,1/Вводные!$B$18))*(Вводные!$B$14*(1+0.0))*(1+Вводные!$B$15)^1*(1+Вводные!$B$19))*(1-Вводные!$B$22-Вводные!$B$27)+(Модель!E17+Модель!E18+Модель!E19+Модель!E21))+Модель!E32+Модель!E29)*Вводные!$B$39</f>
        <v/>
      </c>
      <c r="F23" s="60">
        <f>((Вводные!$B$8*365*MIN((Вводные!$B$17+0.05),Вводные!$B$16+((Вводные!$B$17+0.05)-Вводные!$B$16)*MIN(1,2/Вводные!$B$18))*(Вводные!$B$14*(1+0.0))*(1+Вводные!$B$15)^2*(1+Вводные!$B$19))*(1-Вводные!$B$22-Вводные!$B$27)+(Модель!F17+Модель!F18+Модель!F19+Модель!F21))-MAX(0,((Вводные!$B$8*365*MIN((Вводные!$B$17+0.05),Вводные!$B$16+((Вводные!$B$17+0.05)-Вводные!$B$16)*MIN(1,2/Вводные!$B$18))*(Вводные!$B$14*(1+0.0))*(1+Вводные!$B$15)^2*(1+Вводные!$B$19))*(1-Вводные!$B$22-Вводные!$B$27)+(Модель!F17+Модель!F18+Модель!F19+Модель!F21))+Модель!F32+Модель!F29)*Вводные!$B$39</f>
        <v/>
      </c>
      <c r="G23" s="60">
        <f>((Вводные!$B$8*365*MIN((Вводные!$B$17+0.05),Вводные!$B$16+((Вводные!$B$17+0.05)-Вводные!$B$16)*MIN(1,3/Вводные!$B$18))*(Вводные!$B$14*(1+0.0))*(1+Вводные!$B$15)^3*(1+Вводные!$B$19))*(1-Вводные!$B$22-Вводные!$B$27)+(Модель!G17+Модель!G18+Модель!G19+Модель!G21))-MAX(0,((Вводные!$B$8*365*MIN((Вводные!$B$17+0.05),Вводные!$B$16+((Вводные!$B$17+0.05)-Вводные!$B$16)*MIN(1,3/Вводные!$B$18))*(Вводные!$B$14*(1+0.0))*(1+Вводные!$B$15)^3*(1+Вводные!$B$19))*(1-Вводные!$B$22-Вводные!$B$27)+(Модель!G17+Модель!G18+Модель!G19+Модель!G21))+Модель!G32+Модель!G29)*Вводные!$B$39</f>
        <v/>
      </c>
      <c r="H23" s="60">
        <f>((Вводные!$B$8*365*MIN((Вводные!$B$17+0.05),Вводные!$B$16+((Вводные!$B$17+0.05)-Вводные!$B$16)*MIN(1,4/Вводные!$B$18))*(Вводные!$B$14*(1+0.0))*(1+Вводные!$B$15)^4*(1+Вводные!$B$19))*(1-Вводные!$B$22-Вводные!$B$27)+(Модель!H17+Модель!H18+Модель!H19+Модель!H21))-MAX(0,((Вводные!$B$8*365*MIN((Вводные!$B$17+0.05),Вводные!$B$16+((Вводные!$B$17+0.05)-Вводные!$B$16)*MIN(1,4/Вводные!$B$18))*(Вводные!$B$14*(1+0.0))*(1+Вводные!$B$15)^4*(1+Вводные!$B$19))*(1-Вводные!$B$22-Вводные!$B$27)+(Модель!H17+Модель!H18+Модель!H19+Модель!H21))+Модель!H32+Модель!H29)*Вводные!$B$39</f>
        <v/>
      </c>
      <c r="I23" s="60">
        <f>((Вводные!$B$8*365*MIN((Вводные!$B$17+0.05),Вводные!$B$16+((Вводные!$B$17+0.05)-Вводные!$B$16)*MIN(1,5/Вводные!$B$18))*(Вводные!$B$14*(1+0.0))*(1+Вводные!$B$15)^5*(1+Вводные!$B$19))*(1-Вводные!$B$22-Вводные!$B$27)+(Модель!I17+Модель!I18+Модель!I19+Модель!I21))-MAX(0,((Вводные!$B$8*365*MIN((Вводные!$B$17+0.05),Вводные!$B$16+((Вводные!$B$17+0.05)-Вводные!$B$16)*MIN(1,5/Вводные!$B$18))*(Вводные!$B$14*(1+0.0))*(1+Вводные!$B$15)^5*(1+Вводные!$B$19))*(1-Вводные!$B$22-Вводные!$B$27)+(Модель!I17+Модель!I18+Модель!I19+Модель!I21))+Модель!I32+Модель!I29)*Вводные!$B$39</f>
        <v/>
      </c>
      <c r="J23" s="60">
        <f>((Вводные!$B$8*365*MIN((Вводные!$B$17+0.05),Вводные!$B$16+((Вводные!$B$17+0.05)-Вводные!$B$16)*MIN(1,6/Вводные!$B$18))*(Вводные!$B$14*(1+0.0))*(1+Вводные!$B$15)^6*(1+Вводные!$B$19))*(1-Вводные!$B$22-Вводные!$B$27)+(Модель!J17+Модель!J18+Модель!J19+Модель!J21))-MAX(0,((Вводные!$B$8*365*MIN((Вводные!$B$17+0.05),Вводные!$B$16+((Вводные!$B$17+0.05)-Вводные!$B$16)*MIN(1,6/Вводные!$B$18))*(Вводные!$B$14*(1+0.0))*(1+Вводные!$B$15)^6*(1+Вводные!$B$19))*(1-Вводные!$B$22-Вводные!$B$27)+(Модель!J17+Модель!J18+Модель!J19+Модель!J21))+Модель!J32+Модель!J29)*Вводные!$B$39</f>
        <v/>
      </c>
      <c r="K23" s="60">
        <f>((Вводные!$B$8*365*MIN((Вводные!$B$17+0.05),Вводные!$B$16+((Вводные!$B$17+0.05)-Вводные!$B$16)*MIN(1,7/Вводные!$B$18))*(Вводные!$B$14*(1+0.0))*(1+Вводные!$B$15)^7*(1+Вводные!$B$19))*(1-Вводные!$B$22-Вводные!$B$27)+(Модель!K17+Модель!K18+Модель!K19+Модель!K21))-MAX(0,((Вводные!$B$8*365*MIN((Вводные!$B$17+0.05),Вводные!$B$16+((Вводные!$B$17+0.05)-Вводные!$B$16)*MIN(1,7/Вводные!$B$18))*(Вводные!$B$14*(1+0.0))*(1+Вводные!$B$15)^7*(1+Вводные!$B$19))*(1-Вводные!$B$22-Вводные!$B$27)+(Модель!K17+Модель!K18+Модель!K19+Модель!K21))+Модель!K32+Модель!K29)*Вводные!$B$39</f>
        <v/>
      </c>
      <c r="L23" s="60">
        <f>((Вводные!$B$8*365*MIN((Вводные!$B$17+0.05),Вводные!$B$16+((Вводные!$B$17+0.05)-Вводные!$B$16)*MIN(1,8/Вводные!$B$18))*(Вводные!$B$14*(1+0.0))*(1+Вводные!$B$15)^8*(1+Вводные!$B$19))*(1-Вводные!$B$22-Вводные!$B$27)+(Модель!L17+Модель!L18+Модель!L19+Модель!L21))-MAX(0,((Вводные!$B$8*365*MIN((Вводные!$B$17+0.05),Вводные!$B$16+((Вводные!$B$17+0.05)-Вводные!$B$16)*MIN(1,8/Вводные!$B$18))*(Вводные!$B$14*(1+0.0)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+0.05),Вводные!$B$16+((Вводные!$B$17+0.05)-Вводные!$B$16)*MIN(1,8/Вводные!$B$18))*(Вводные!$B$14*(1+0.0))*(1+Вводные!$B$15)^8*(1+Вводные!$B$19))*(1-Вводные!$B$22-Вводные!$B$27)+(Модель!L17+Модель!L18+Модель!L19+Модель!L21))*Вводные!$B$40</f>
        <v/>
      </c>
      <c r="M23" s="51">
        <f>SUMPRODUCT(B23:L23,Модель!$B$42:$L$42)</f>
        <v/>
      </c>
      <c r="N23" s="59">
        <f>IFERROR(IRR(B23:L23),"—")</f>
        <v/>
      </c>
    </row>
    <row r="24">
      <c r="A24" s="48" t="inlineStr">
        <is>
          <t>Загрузка +5% · тариф +5%</t>
        </is>
      </c>
      <c r="B24" s="60">
        <f>Модель!B7</f>
        <v/>
      </c>
      <c r="C24" s="60">
        <f>Модель!C7</f>
        <v/>
      </c>
      <c r="D24" s="60">
        <f>((Вводные!$B$8*365*MIN((Вводные!$B$17+0.05),Вводные!$B$16+((Вводные!$B$17+0.05)-Вводные!$B$16)*MIN(1,0/Вводные!$B$18))*(Вводные!$B$14*(1+0.05))*(1+Вводные!$B$15)^0*(1+Вводные!$B$19))*(1-Вводные!$B$22-Вводные!$B$27)+(Модель!D17+Модель!D18+Модель!D19+Модель!D21))-MAX(0,((Вводные!$B$8*365*MIN((Вводные!$B$17+0.05),Вводные!$B$16+((Вводные!$B$17+0.05)-Вводные!$B$16)*MIN(1,0/Вводные!$B$18))*(Вводные!$B$14*(1+0.05))*(1+Вводные!$B$15)^0*(1+Вводные!$B$19))*(1-Вводные!$B$22-Вводные!$B$27)+(Модель!D17+Модель!D18+Модель!D19+Модель!D21))+Модель!D32+Модель!D29)*Вводные!$B$39</f>
        <v/>
      </c>
      <c r="E24" s="60">
        <f>((Вводные!$B$8*365*MIN((Вводные!$B$17+0.05),Вводные!$B$16+((Вводные!$B$17+0.05)-Вводные!$B$16)*MIN(1,1/Вводные!$B$18))*(Вводные!$B$14*(1+0.05))*(1+Вводные!$B$15)^1*(1+Вводные!$B$19))*(1-Вводные!$B$22-Вводные!$B$27)+(Модель!E17+Модель!E18+Модель!E19+Модель!E21))-MAX(0,((Вводные!$B$8*365*MIN((Вводные!$B$17+0.05),Вводные!$B$16+((Вводные!$B$17+0.05)-Вводные!$B$16)*MIN(1,1/Вводные!$B$18))*(Вводные!$B$14*(1+0.05))*(1+Вводные!$B$15)^1*(1+Вводные!$B$19))*(1-Вводные!$B$22-Вводные!$B$27)+(Модель!E17+Модель!E18+Модель!E19+Модель!E21))+Модель!E32+Модель!E29)*Вводные!$B$39</f>
        <v/>
      </c>
      <c r="F24" s="60">
        <f>((Вводные!$B$8*365*MIN((Вводные!$B$17+0.05),Вводные!$B$16+((Вводные!$B$17+0.05)-Вводные!$B$16)*MIN(1,2/Вводные!$B$18))*(Вводные!$B$14*(1+0.05))*(1+Вводные!$B$15)^2*(1+Вводные!$B$19))*(1-Вводные!$B$22-Вводные!$B$27)+(Модель!F17+Модель!F18+Модель!F19+Модель!F21))-MAX(0,((Вводные!$B$8*365*MIN((Вводные!$B$17+0.05),Вводные!$B$16+((Вводные!$B$17+0.05)-Вводные!$B$16)*MIN(1,2/Вводные!$B$18))*(Вводные!$B$14*(1+0.05))*(1+Вводные!$B$15)^2*(1+Вводные!$B$19))*(1-Вводные!$B$22-Вводные!$B$27)+(Модель!F17+Модель!F18+Модель!F19+Модель!F21))+Модель!F32+Модель!F29)*Вводные!$B$39</f>
        <v/>
      </c>
      <c r="G24" s="60">
        <f>((Вводные!$B$8*365*MIN((Вводные!$B$17+0.05),Вводные!$B$16+((Вводные!$B$17+0.05)-Вводные!$B$16)*MIN(1,3/Вводные!$B$18))*(Вводные!$B$14*(1+0.05))*(1+Вводные!$B$15)^3*(1+Вводные!$B$19))*(1-Вводные!$B$22-Вводные!$B$27)+(Модель!G17+Модель!G18+Модель!G19+Модель!G21))-MAX(0,((Вводные!$B$8*365*MIN((Вводные!$B$17+0.05),Вводные!$B$16+((Вводные!$B$17+0.05)-Вводные!$B$16)*MIN(1,3/Вводные!$B$18))*(Вводные!$B$14*(1+0.05))*(1+Вводные!$B$15)^3*(1+Вводные!$B$19))*(1-Вводные!$B$22-Вводные!$B$27)+(Модель!G17+Модель!G18+Модель!G19+Модель!G21))+Модель!G32+Модель!G29)*Вводные!$B$39</f>
        <v/>
      </c>
      <c r="H24" s="60">
        <f>((Вводные!$B$8*365*MIN((Вводные!$B$17+0.05),Вводные!$B$16+((Вводные!$B$17+0.05)-Вводные!$B$16)*MIN(1,4/Вводные!$B$18))*(Вводные!$B$14*(1+0.05))*(1+Вводные!$B$15)^4*(1+Вводные!$B$19))*(1-Вводные!$B$22-Вводные!$B$27)+(Модель!H17+Модель!H18+Модель!H19+Модель!H21))-MAX(0,((Вводные!$B$8*365*MIN((Вводные!$B$17+0.05),Вводные!$B$16+((Вводные!$B$17+0.05)-Вводные!$B$16)*MIN(1,4/Вводные!$B$18))*(Вводные!$B$14*(1+0.05))*(1+Вводные!$B$15)^4*(1+Вводные!$B$19))*(1-Вводные!$B$22-Вводные!$B$27)+(Модель!H17+Модель!H18+Модель!H19+Модель!H21))+Модель!H32+Модель!H29)*Вводные!$B$39</f>
        <v/>
      </c>
      <c r="I24" s="60">
        <f>((Вводные!$B$8*365*MIN((Вводные!$B$17+0.05),Вводные!$B$16+((Вводные!$B$17+0.05)-Вводные!$B$16)*MIN(1,5/Вводные!$B$18))*(Вводные!$B$14*(1+0.05))*(1+Вводные!$B$15)^5*(1+Вводные!$B$19))*(1-Вводные!$B$22-Вводные!$B$27)+(Модель!I17+Модель!I18+Модель!I19+Модель!I21))-MAX(0,((Вводные!$B$8*365*MIN((Вводные!$B$17+0.05),Вводные!$B$16+((Вводные!$B$17+0.05)-Вводные!$B$16)*MIN(1,5/Вводные!$B$18))*(Вводные!$B$14*(1+0.05))*(1+Вводные!$B$15)^5*(1+Вводные!$B$19))*(1-Вводные!$B$22-Вводные!$B$27)+(Модель!I17+Модель!I18+Модель!I19+Модель!I21))+Модель!I32+Модель!I29)*Вводные!$B$39</f>
        <v/>
      </c>
      <c r="J24" s="60">
        <f>((Вводные!$B$8*365*MIN((Вводные!$B$17+0.05),Вводные!$B$16+((Вводные!$B$17+0.05)-Вводные!$B$16)*MIN(1,6/Вводные!$B$18))*(Вводные!$B$14*(1+0.05))*(1+Вводные!$B$15)^6*(1+Вводные!$B$19))*(1-Вводные!$B$22-Вводные!$B$27)+(Модель!J17+Модель!J18+Модель!J19+Модель!J21))-MAX(0,((Вводные!$B$8*365*MIN((Вводные!$B$17+0.05),Вводные!$B$16+((Вводные!$B$17+0.05)-Вводные!$B$16)*MIN(1,6/Вводные!$B$18))*(Вводные!$B$14*(1+0.05))*(1+Вводные!$B$15)^6*(1+Вводные!$B$19))*(1-Вводные!$B$22-Вводные!$B$27)+(Модель!J17+Модель!J18+Модель!J19+Модель!J21))+Модель!J32+Модель!J29)*Вводные!$B$39</f>
        <v/>
      </c>
      <c r="K24" s="60">
        <f>((Вводные!$B$8*365*MIN((Вводные!$B$17+0.05),Вводные!$B$16+((Вводные!$B$17+0.05)-Вводные!$B$16)*MIN(1,7/Вводные!$B$18))*(Вводные!$B$14*(1+0.05))*(1+Вводные!$B$15)^7*(1+Вводные!$B$19))*(1-Вводные!$B$22-Вводные!$B$27)+(Модель!K17+Модель!K18+Модель!K19+Модель!K21))-MAX(0,((Вводные!$B$8*365*MIN((Вводные!$B$17+0.05),Вводные!$B$16+((Вводные!$B$17+0.05)-Вводные!$B$16)*MIN(1,7/Вводные!$B$18))*(Вводные!$B$14*(1+0.05))*(1+Вводные!$B$15)^7*(1+Вводные!$B$19))*(1-Вводные!$B$22-Вводные!$B$27)+(Модель!K17+Модель!K18+Модель!K19+Модель!K21))+Модель!K32+Модель!K29)*Вводные!$B$39</f>
        <v/>
      </c>
      <c r="L24" s="60">
        <f>((Вводные!$B$8*365*MIN((Вводные!$B$17+0.05),Вводные!$B$16+((Вводные!$B$17+0.05)-Вводные!$B$16)*MIN(1,8/Вводные!$B$18))*(Вводные!$B$14*(1+0.05))*(1+Вводные!$B$15)^8*(1+Вводные!$B$19))*(1-Вводные!$B$22-Вводные!$B$27)+(Модель!L17+Модель!L18+Модель!L19+Модель!L21))-MAX(0,((Вводные!$B$8*365*MIN((Вводные!$B$17+0.05),Вводные!$B$16+((Вводные!$B$17+0.05)-Вводные!$B$16)*MIN(1,8/Вводные!$B$18))*(Вводные!$B$14*(1+0.05)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+0.05),Вводные!$B$16+((Вводные!$B$17+0.05)-Вводные!$B$16)*MIN(1,8/Вводные!$B$18))*(Вводные!$B$14*(1+0.05))*(1+Вводные!$B$15)^8*(1+Вводные!$B$19))*(1-Вводные!$B$22-Вводные!$B$27)+(Модель!L17+Модель!L18+Модель!L19+Модель!L21))*Вводные!$B$40</f>
        <v/>
      </c>
      <c r="M24" s="51">
        <f>SUMPRODUCT(B24:L24,Модель!$B$42:$L$42)</f>
        <v/>
      </c>
      <c r="N24" s="59">
        <f>IFERROR(IRR(B24:L24),"—")</f>
        <v/>
      </c>
    </row>
    <row r="25">
      <c r="A25" s="48" t="inlineStr">
        <is>
          <t>Загрузка +5% · тариф +10%</t>
        </is>
      </c>
      <c r="B25" s="60">
        <f>Модель!B7</f>
        <v/>
      </c>
      <c r="C25" s="60">
        <f>Модель!C7</f>
        <v/>
      </c>
      <c r="D25" s="60">
        <f>((Вводные!$B$8*365*MIN((Вводные!$B$17+0.05),Вводные!$B$16+((Вводные!$B$17+0.05)-Вводные!$B$16)*MIN(1,0/Вводные!$B$18))*(Вводные!$B$14*(1+0.1))*(1+Вводные!$B$15)^0*(1+Вводные!$B$19))*(1-Вводные!$B$22-Вводные!$B$27)+(Модель!D17+Модель!D18+Модель!D19+Модель!D21))-MAX(0,((Вводные!$B$8*365*MIN((Вводные!$B$17+0.05),Вводные!$B$16+((Вводные!$B$17+0.05)-Вводные!$B$16)*MIN(1,0/Вводные!$B$18))*(Вводные!$B$14*(1+0.1))*(1+Вводные!$B$15)^0*(1+Вводные!$B$19))*(1-Вводные!$B$22-Вводные!$B$27)+(Модель!D17+Модель!D18+Модель!D19+Модель!D21))+Модель!D32+Модель!D29)*Вводные!$B$39</f>
        <v/>
      </c>
      <c r="E25" s="60">
        <f>((Вводные!$B$8*365*MIN((Вводные!$B$17+0.05),Вводные!$B$16+((Вводные!$B$17+0.05)-Вводные!$B$16)*MIN(1,1/Вводные!$B$18))*(Вводные!$B$14*(1+0.1))*(1+Вводные!$B$15)^1*(1+Вводные!$B$19))*(1-Вводные!$B$22-Вводные!$B$27)+(Модель!E17+Модель!E18+Модель!E19+Модель!E21))-MAX(0,((Вводные!$B$8*365*MIN((Вводные!$B$17+0.05),Вводные!$B$16+((Вводные!$B$17+0.05)-Вводные!$B$16)*MIN(1,1/Вводные!$B$18))*(Вводные!$B$14*(1+0.1))*(1+Вводные!$B$15)^1*(1+Вводные!$B$19))*(1-Вводные!$B$22-Вводные!$B$27)+(Модель!E17+Модель!E18+Модель!E19+Модель!E21))+Модель!E32+Модель!E29)*Вводные!$B$39</f>
        <v/>
      </c>
      <c r="F25" s="60">
        <f>((Вводные!$B$8*365*MIN((Вводные!$B$17+0.05),Вводные!$B$16+((Вводные!$B$17+0.05)-Вводные!$B$16)*MIN(1,2/Вводные!$B$18))*(Вводные!$B$14*(1+0.1))*(1+Вводные!$B$15)^2*(1+Вводные!$B$19))*(1-Вводные!$B$22-Вводные!$B$27)+(Модель!F17+Модель!F18+Модель!F19+Модель!F21))-MAX(0,((Вводные!$B$8*365*MIN((Вводные!$B$17+0.05),Вводные!$B$16+((Вводные!$B$17+0.05)-Вводные!$B$16)*MIN(1,2/Вводные!$B$18))*(Вводные!$B$14*(1+0.1))*(1+Вводные!$B$15)^2*(1+Вводные!$B$19))*(1-Вводные!$B$22-Вводные!$B$27)+(Модель!F17+Модель!F18+Модель!F19+Модель!F21))+Модель!F32+Модель!F29)*Вводные!$B$39</f>
        <v/>
      </c>
      <c r="G25" s="60">
        <f>((Вводные!$B$8*365*MIN((Вводные!$B$17+0.05),Вводные!$B$16+((Вводные!$B$17+0.05)-Вводные!$B$16)*MIN(1,3/Вводные!$B$18))*(Вводные!$B$14*(1+0.1))*(1+Вводные!$B$15)^3*(1+Вводные!$B$19))*(1-Вводные!$B$22-Вводные!$B$27)+(Модель!G17+Модель!G18+Модель!G19+Модель!G21))-MAX(0,((Вводные!$B$8*365*MIN((Вводные!$B$17+0.05),Вводные!$B$16+((Вводные!$B$17+0.05)-Вводные!$B$16)*MIN(1,3/Вводные!$B$18))*(Вводные!$B$14*(1+0.1))*(1+Вводные!$B$15)^3*(1+Вводные!$B$19))*(1-Вводные!$B$22-Вводные!$B$27)+(Модель!G17+Модель!G18+Модель!G19+Модель!G21))+Модель!G32+Модель!G29)*Вводные!$B$39</f>
        <v/>
      </c>
      <c r="H25" s="60">
        <f>((Вводные!$B$8*365*MIN((Вводные!$B$17+0.05),Вводные!$B$16+((Вводные!$B$17+0.05)-Вводные!$B$16)*MIN(1,4/Вводные!$B$18))*(Вводные!$B$14*(1+0.1))*(1+Вводные!$B$15)^4*(1+Вводные!$B$19))*(1-Вводные!$B$22-Вводные!$B$27)+(Модель!H17+Модель!H18+Модель!H19+Модель!H21))-MAX(0,((Вводные!$B$8*365*MIN((Вводные!$B$17+0.05),Вводные!$B$16+((Вводные!$B$17+0.05)-Вводные!$B$16)*MIN(1,4/Вводные!$B$18))*(Вводные!$B$14*(1+0.1))*(1+Вводные!$B$15)^4*(1+Вводные!$B$19))*(1-Вводные!$B$22-Вводные!$B$27)+(Модель!H17+Модель!H18+Модель!H19+Модель!H21))+Модель!H32+Модель!H29)*Вводные!$B$39</f>
        <v/>
      </c>
      <c r="I25" s="60">
        <f>((Вводные!$B$8*365*MIN((Вводные!$B$17+0.05),Вводные!$B$16+((Вводные!$B$17+0.05)-Вводные!$B$16)*MIN(1,5/Вводные!$B$18))*(Вводные!$B$14*(1+0.1))*(1+Вводные!$B$15)^5*(1+Вводные!$B$19))*(1-Вводные!$B$22-Вводные!$B$27)+(Модель!I17+Модель!I18+Модель!I19+Модель!I21))-MAX(0,((Вводные!$B$8*365*MIN((Вводные!$B$17+0.05),Вводные!$B$16+((Вводные!$B$17+0.05)-Вводные!$B$16)*MIN(1,5/Вводные!$B$18))*(Вводные!$B$14*(1+0.1))*(1+Вводные!$B$15)^5*(1+Вводные!$B$19))*(1-Вводные!$B$22-Вводные!$B$27)+(Модель!I17+Модель!I18+Модель!I19+Модель!I21))+Модель!I32+Модель!I29)*Вводные!$B$39</f>
        <v/>
      </c>
      <c r="J25" s="60">
        <f>((Вводные!$B$8*365*MIN((Вводные!$B$17+0.05),Вводные!$B$16+((Вводные!$B$17+0.05)-Вводные!$B$16)*MIN(1,6/Вводные!$B$18))*(Вводные!$B$14*(1+0.1))*(1+Вводные!$B$15)^6*(1+Вводные!$B$19))*(1-Вводные!$B$22-Вводные!$B$27)+(Модель!J17+Модель!J18+Модель!J19+Модель!J21))-MAX(0,((Вводные!$B$8*365*MIN((Вводные!$B$17+0.05),Вводные!$B$16+((Вводные!$B$17+0.05)-Вводные!$B$16)*MIN(1,6/Вводные!$B$18))*(Вводные!$B$14*(1+0.1))*(1+Вводные!$B$15)^6*(1+Вводные!$B$19))*(1-Вводные!$B$22-Вводные!$B$27)+(Модель!J17+Модель!J18+Модель!J19+Модель!J21))+Модель!J32+Модель!J29)*Вводные!$B$39</f>
        <v/>
      </c>
      <c r="K25" s="60">
        <f>((Вводные!$B$8*365*MIN((Вводные!$B$17+0.05),Вводные!$B$16+((Вводные!$B$17+0.05)-Вводные!$B$16)*MIN(1,7/Вводные!$B$18))*(Вводные!$B$14*(1+0.1))*(1+Вводные!$B$15)^7*(1+Вводные!$B$19))*(1-Вводные!$B$22-Вводные!$B$27)+(Модель!K17+Модель!K18+Модель!K19+Модель!K21))-MAX(0,((Вводные!$B$8*365*MIN((Вводные!$B$17+0.05),Вводные!$B$16+((Вводные!$B$17+0.05)-Вводные!$B$16)*MIN(1,7/Вводные!$B$18))*(Вводные!$B$14*(1+0.1))*(1+Вводные!$B$15)^7*(1+Вводные!$B$19))*(1-Вводные!$B$22-Вводные!$B$27)+(Модель!K17+Модель!K18+Модель!K19+Модель!K21))+Модель!K32+Модель!K29)*Вводные!$B$39</f>
        <v/>
      </c>
      <c r="L25" s="60">
        <f>((Вводные!$B$8*365*MIN((Вводные!$B$17+0.05),Вводные!$B$16+((Вводные!$B$17+0.05)-Вводные!$B$16)*MIN(1,8/Вводные!$B$18))*(Вводные!$B$14*(1+0.1))*(1+Вводные!$B$15)^8*(1+Вводные!$B$19))*(1-Вводные!$B$22-Вводные!$B$27)+(Модель!L17+Модель!L18+Модель!L19+Модель!L21))-MAX(0,((Вводные!$B$8*365*MIN((Вводные!$B$17+0.05),Вводные!$B$16+((Вводные!$B$17+0.05)-Вводные!$B$16)*MIN(1,8/Вводные!$B$18))*(Вводные!$B$14*(1+0.1)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+0.05),Вводные!$B$16+((Вводные!$B$17+0.05)-Вводные!$B$16)*MIN(1,8/Вводные!$B$18))*(Вводные!$B$14*(1+0.1))*(1+Вводные!$B$15)^8*(1+Вводные!$B$19))*(1-Вводные!$B$22-Вводные!$B$27)+(Модель!L17+Модель!L18+Модель!L19+Модель!L21))*Вводные!$B$40</f>
        <v/>
      </c>
      <c r="M25" s="51">
        <f>SUMPRODUCT(B25:L25,Модель!$B$42:$L$42)</f>
        <v/>
      </c>
      <c r="N25" s="59">
        <f>IFERROR(IRR(B25:L25),"—")</f>
        <v/>
      </c>
    </row>
    <row r="26">
      <c r="A26" s="48" t="inlineStr">
        <is>
          <t>Загрузка +10% · тариф -10%</t>
        </is>
      </c>
      <c r="B26" s="60">
        <f>Модель!B7</f>
        <v/>
      </c>
      <c r="C26" s="60">
        <f>Модель!C7</f>
        <v/>
      </c>
      <c r="D26" s="60">
        <f>((Вводные!$B$8*365*MIN((Вводные!$B$17+0.1),Вводные!$B$16+((Вводные!$B$17+0.1)-Вводные!$B$16)*MIN(1,0/Вводные!$B$18))*(Вводные!$B$14*(1+-0.1))*(1+Вводные!$B$15)^0*(1+Вводные!$B$19))*(1-Вводные!$B$22-Вводные!$B$27)+(Модель!D17+Модель!D18+Модель!D19+Модель!D21))-MAX(0,((Вводные!$B$8*365*MIN((Вводные!$B$17+0.1),Вводные!$B$16+((Вводные!$B$17+0.1)-Вводные!$B$16)*MIN(1,0/Вводные!$B$18))*(Вводные!$B$14*(1+-0.1))*(1+Вводные!$B$15)^0*(1+Вводные!$B$19))*(1-Вводные!$B$22-Вводные!$B$27)+(Модель!D17+Модель!D18+Модель!D19+Модель!D21))+Модель!D32+Модель!D29)*Вводные!$B$39</f>
        <v/>
      </c>
      <c r="E26" s="60">
        <f>((Вводные!$B$8*365*MIN((Вводные!$B$17+0.1),Вводные!$B$16+((Вводные!$B$17+0.1)-Вводные!$B$16)*MIN(1,1/Вводные!$B$18))*(Вводные!$B$14*(1+-0.1))*(1+Вводные!$B$15)^1*(1+Вводные!$B$19))*(1-Вводные!$B$22-Вводные!$B$27)+(Модель!E17+Модель!E18+Модель!E19+Модель!E21))-MAX(0,((Вводные!$B$8*365*MIN((Вводные!$B$17+0.1),Вводные!$B$16+((Вводные!$B$17+0.1)-Вводные!$B$16)*MIN(1,1/Вводные!$B$18))*(Вводные!$B$14*(1+-0.1))*(1+Вводные!$B$15)^1*(1+Вводные!$B$19))*(1-Вводные!$B$22-Вводные!$B$27)+(Модель!E17+Модель!E18+Модель!E19+Модель!E21))+Модель!E32+Модель!E29)*Вводные!$B$39</f>
        <v/>
      </c>
      <c r="F26" s="60">
        <f>((Вводные!$B$8*365*MIN((Вводные!$B$17+0.1),Вводные!$B$16+((Вводные!$B$17+0.1)-Вводные!$B$16)*MIN(1,2/Вводные!$B$18))*(Вводные!$B$14*(1+-0.1))*(1+Вводные!$B$15)^2*(1+Вводные!$B$19))*(1-Вводные!$B$22-Вводные!$B$27)+(Модель!F17+Модель!F18+Модель!F19+Модель!F21))-MAX(0,((Вводные!$B$8*365*MIN((Вводные!$B$17+0.1),Вводные!$B$16+((Вводные!$B$17+0.1)-Вводные!$B$16)*MIN(1,2/Вводные!$B$18))*(Вводные!$B$14*(1+-0.1))*(1+Вводные!$B$15)^2*(1+Вводные!$B$19))*(1-Вводные!$B$22-Вводные!$B$27)+(Модель!F17+Модель!F18+Модель!F19+Модель!F21))+Модель!F32+Модель!F29)*Вводные!$B$39</f>
        <v/>
      </c>
      <c r="G26" s="60">
        <f>((Вводные!$B$8*365*MIN((Вводные!$B$17+0.1),Вводные!$B$16+((Вводные!$B$17+0.1)-Вводные!$B$16)*MIN(1,3/Вводные!$B$18))*(Вводные!$B$14*(1+-0.1))*(1+Вводные!$B$15)^3*(1+Вводные!$B$19))*(1-Вводные!$B$22-Вводные!$B$27)+(Модель!G17+Модель!G18+Модель!G19+Модель!G21))-MAX(0,((Вводные!$B$8*365*MIN((Вводные!$B$17+0.1),Вводные!$B$16+((Вводные!$B$17+0.1)-Вводные!$B$16)*MIN(1,3/Вводные!$B$18))*(Вводные!$B$14*(1+-0.1))*(1+Вводные!$B$15)^3*(1+Вводные!$B$19))*(1-Вводные!$B$22-Вводные!$B$27)+(Модель!G17+Модель!G18+Модель!G19+Модель!G21))+Модель!G32+Модель!G29)*Вводные!$B$39</f>
        <v/>
      </c>
      <c r="H26" s="60">
        <f>((Вводные!$B$8*365*MIN((Вводные!$B$17+0.1),Вводные!$B$16+((Вводные!$B$17+0.1)-Вводные!$B$16)*MIN(1,4/Вводные!$B$18))*(Вводные!$B$14*(1+-0.1))*(1+Вводные!$B$15)^4*(1+Вводные!$B$19))*(1-Вводные!$B$22-Вводные!$B$27)+(Модель!H17+Модель!H18+Модель!H19+Модель!H21))-MAX(0,((Вводные!$B$8*365*MIN((Вводные!$B$17+0.1),Вводные!$B$16+((Вводные!$B$17+0.1)-Вводные!$B$16)*MIN(1,4/Вводные!$B$18))*(Вводные!$B$14*(1+-0.1))*(1+Вводные!$B$15)^4*(1+Вводные!$B$19))*(1-Вводные!$B$22-Вводные!$B$27)+(Модель!H17+Модель!H18+Модель!H19+Модель!H21))+Модель!H32+Модель!H29)*Вводные!$B$39</f>
        <v/>
      </c>
      <c r="I26" s="60">
        <f>((Вводные!$B$8*365*MIN((Вводные!$B$17+0.1),Вводные!$B$16+((Вводные!$B$17+0.1)-Вводные!$B$16)*MIN(1,5/Вводные!$B$18))*(Вводные!$B$14*(1+-0.1))*(1+Вводные!$B$15)^5*(1+Вводные!$B$19))*(1-Вводные!$B$22-Вводные!$B$27)+(Модель!I17+Модель!I18+Модель!I19+Модель!I21))-MAX(0,((Вводные!$B$8*365*MIN((Вводные!$B$17+0.1),Вводные!$B$16+((Вводные!$B$17+0.1)-Вводные!$B$16)*MIN(1,5/Вводные!$B$18))*(Вводные!$B$14*(1+-0.1))*(1+Вводные!$B$15)^5*(1+Вводные!$B$19))*(1-Вводные!$B$22-Вводные!$B$27)+(Модель!I17+Модель!I18+Модель!I19+Модель!I21))+Модель!I32+Модель!I29)*Вводные!$B$39</f>
        <v/>
      </c>
      <c r="J26" s="60">
        <f>((Вводные!$B$8*365*MIN((Вводные!$B$17+0.1),Вводные!$B$16+((Вводные!$B$17+0.1)-Вводные!$B$16)*MIN(1,6/Вводные!$B$18))*(Вводные!$B$14*(1+-0.1))*(1+Вводные!$B$15)^6*(1+Вводные!$B$19))*(1-Вводные!$B$22-Вводные!$B$27)+(Модель!J17+Модель!J18+Модель!J19+Модель!J21))-MAX(0,((Вводные!$B$8*365*MIN((Вводные!$B$17+0.1),Вводные!$B$16+((Вводные!$B$17+0.1)-Вводные!$B$16)*MIN(1,6/Вводные!$B$18))*(Вводные!$B$14*(1+-0.1))*(1+Вводные!$B$15)^6*(1+Вводные!$B$19))*(1-Вводные!$B$22-Вводные!$B$27)+(Модель!J17+Модель!J18+Модель!J19+Модель!J21))+Модель!J32+Модель!J29)*Вводные!$B$39</f>
        <v/>
      </c>
      <c r="K26" s="60">
        <f>((Вводные!$B$8*365*MIN((Вводные!$B$17+0.1),Вводные!$B$16+((Вводные!$B$17+0.1)-Вводные!$B$16)*MIN(1,7/Вводные!$B$18))*(Вводные!$B$14*(1+-0.1))*(1+Вводные!$B$15)^7*(1+Вводные!$B$19))*(1-Вводные!$B$22-Вводные!$B$27)+(Модель!K17+Модель!K18+Модель!K19+Модель!K21))-MAX(0,((Вводные!$B$8*365*MIN((Вводные!$B$17+0.1),Вводные!$B$16+((Вводные!$B$17+0.1)-Вводные!$B$16)*MIN(1,7/Вводные!$B$18))*(Вводные!$B$14*(1+-0.1))*(1+Вводные!$B$15)^7*(1+Вводные!$B$19))*(1-Вводные!$B$22-Вводные!$B$27)+(Модель!K17+Модель!K18+Модель!K19+Модель!K21))+Модель!K32+Модель!K29)*Вводные!$B$39</f>
        <v/>
      </c>
      <c r="L26" s="60">
        <f>((Вводные!$B$8*365*MIN((Вводные!$B$17+0.1),Вводные!$B$16+((Вводные!$B$17+0.1)-Вводные!$B$16)*MIN(1,8/Вводные!$B$18))*(Вводные!$B$14*(1+-0.1))*(1+Вводные!$B$15)^8*(1+Вводные!$B$19))*(1-Вводные!$B$22-Вводные!$B$27)+(Модель!L17+Модель!L18+Модель!L19+Модель!L21))-MAX(0,((Вводные!$B$8*365*MIN((Вводные!$B$17+0.1),Вводные!$B$16+((Вводные!$B$17+0.1)-Вводные!$B$16)*MIN(1,8/Вводные!$B$18))*(Вводные!$B$14*(1+-0.1)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+0.1),Вводные!$B$16+((Вводные!$B$17+0.1)-Вводные!$B$16)*MIN(1,8/Вводные!$B$18))*(Вводные!$B$14*(1+-0.1))*(1+Вводные!$B$15)^8*(1+Вводные!$B$19))*(1-Вводные!$B$22-Вводные!$B$27)+(Модель!L17+Модель!L18+Модель!L19+Модель!L21))*Вводные!$B$40</f>
        <v/>
      </c>
      <c r="M26" s="51">
        <f>SUMPRODUCT(B26:L26,Модель!$B$42:$L$42)</f>
        <v/>
      </c>
      <c r="N26" s="59">
        <f>IFERROR(IRR(B26:L26),"—")</f>
        <v/>
      </c>
    </row>
    <row r="27">
      <c r="A27" s="48" t="inlineStr">
        <is>
          <t>Загрузка +10% · тариф -5%</t>
        </is>
      </c>
      <c r="B27" s="60">
        <f>Модель!B7</f>
        <v/>
      </c>
      <c r="C27" s="60">
        <f>Модель!C7</f>
        <v/>
      </c>
      <c r="D27" s="60">
        <f>((Вводные!$B$8*365*MIN((Вводные!$B$17+0.1),Вводные!$B$16+((Вводные!$B$17+0.1)-Вводные!$B$16)*MIN(1,0/Вводные!$B$18))*(Вводные!$B$14*(1+-0.05))*(1+Вводные!$B$15)^0*(1+Вводные!$B$19))*(1-Вводные!$B$22-Вводные!$B$27)+(Модель!D17+Модель!D18+Модель!D19+Модель!D21))-MAX(0,((Вводные!$B$8*365*MIN((Вводные!$B$17+0.1),Вводные!$B$16+((Вводные!$B$17+0.1)-Вводные!$B$16)*MIN(1,0/Вводные!$B$18))*(Вводные!$B$14*(1+-0.05))*(1+Вводные!$B$15)^0*(1+Вводные!$B$19))*(1-Вводные!$B$22-Вводные!$B$27)+(Модель!D17+Модель!D18+Модель!D19+Модель!D21))+Модель!D32+Модель!D29)*Вводные!$B$39</f>
        <v/>
      </c>
      <c r="E27" s="60">
        <f>((Вводные!$B$8*365*MIN((Вводные!$B$17+0.1),Вводные!$B$16+((Вводные!$B$17+0.1)-Вводные!$B$16)*MIN(1,1/Вводные!$B$18))*(Вводные!$B$14*(1+-0.05))*(1+Вводные!$B$15)^1*(1+Вводные!$B$19))*(1-Вводные!$B$22-Вводные!$B$27)+(Модель!E17+Модель!E18+Модель!E19+Модель!E21))-MAX(0,((Вводные!$B$8*365*MIN((Вводные!$B$17+0.1),Вводные!$B$16+((Вводные!$B$17+0.1)-Вводные!$B$16)*MIN(1,1/Вводные!$B$18))*(Вводные!$B$14*(1+-0.05))*(1+Вводные!$B$15)^1*(1+Вводные!$B$19))*(1-Вводные!$B$22-Вводные!$B$27)+(Модель!E17+Модель!E18+Модель!E19+Модель!E21))+Модель!E32+Модель!E29)*Вводные!$B$39</f>
        <v/>
      </c>
      <c r="F27" s="60">
        <f>((Вводные!$B$8*365*MIN((Вводные!$B$17+0.1),Вводные!$B$16+((Вводные!$B$17+0.1)-Вводные!$B$16)*MIN(1,2/Вводные!$B$18))*(Вводные!$B$14*(1+-0.05))*(1+Вводные!$B$15)^2*(1+Вводные!$B$19))*(1-Вводные!$B$22-Вводные!$B$27)+(Модель!F17+Модель!F18+Модель!F19+Модель!F21))-MAX(0,((Вводные!$B$8*365*MIN((Вводные!$B$17+0.1),Вводные!$B$16+((Вводные!$B$17+0.1)-Вводные!$B$16)*MIN(1,2/Вводные!$B$18))*(Вводные!$B$14*(1+-0.05))*(1+Вводные!$B$15)^2*(1+Вводные!$B$19))*(1-Вводные!$B$22-Вводные!$B$27)+(Модель!F17+Модель!F18+Модель!F19+Модель!F21))+Модель!F32+Модель!F29)*Вводные!$B$39</f>
        <v/>
      </c>
      <c r="G27" s="60">
        <f>((Вводные!$B$8*365*MIN((Вводные!$B$17+0.1),Вводные!$B$16+((Вводные!$B$17+0.1)-Вводные!$B$16)*MIN(1,3/Вводные!$B$18))*(Вводные!$B$14*(1+-0.05))*(1+Вводные!$B$15)^3*(1+Вводные!$B$19))*(1-Вводные!$B$22-Вводные!$B$27)+(Модель!G17+Модель!G18+Модель!G19+Модель!G21))-MAX(0,((Вводные!$B$8*365*MIN((Вводные!$B$17+0.1),Вводные!$B$16+((Вводные!$B$17+0.1)-Вводные!$B$16)*MIN(1,3/Вводные!$B$18))*(Вводные!$B$14*(1+-0.05))*(1+Вводные!$B$15)^3*(1+Вводные!$B$19))*(1-Вводные!$B$22-Вводные!$B$27)+(Модель!G17+Модель!G18+Модель!G19+Модель!G21))+Модель!G32+Модель!G29)*Вводные!$B$39</f>
        <v/>
      </c>
      <c r="H27" s="60">
        <f>((Вводные!$B$8*365*MIN((Вводные!$B$17+0.1),Вводные!$B$16+((Вводные!$B$17+0.1)-Вводные!$B$16)*MIN(1,4/Вводные!$B$18))*(Вводные!$B$14*(1+-0.05))*(1+Вводные!$B$15)^4*(1+Вводные!$B$19))*(1-Вводные!$B$22-Вводные!$B$27)+(Модель!H17+Модель!H18+Модель!H19+Модель!H21))-MAX(0,((Вводные!$B$8*365*MIN((Вводные!$B$17+0.1),Вводные!$B$16+((Вводные!$B$17+0.1)-Вводные!$B$16)*MIN(1,4/Вводные!$B$18))*(Вводные!$B$14*(1+-0.05))*(1+Вводные!$B$15)^4*(1+Вводные!$B$19))*(1-Вводные!$B$22-Вводные!$B$27)+(Модель!H17+Модель!H18+Модель!H19+Модель!H21))+Модель!H32+Модель!H29)*Вводные!$B$39</f>
        <v/>
      </c>
      <c r="I27" s="60">
        <f>((Вводные!$B$8*365*MIN((Вводные!$B$17+0.1),Вводные!$B$16+((Вводные!$B$17+0.1)-Вводные!$B$16)*MIN(1,5/Вводные!$B$18))*(Вводные!$B$14*(1+-0.05))*(1+Вводные!$B$15)^5*(1+Вводные!$B$19))*(1-Вводные!$B$22-Вводные!$B$27)+(Модель!I17+Модель!I18+Модель!I19+Модель!I21))-MAX(0,((Вводные!$B$8*365*MIN((Вводные!$B$17+0.1),Вводные!$B$16+((Вводные!$B$17+0.1)-Вводные!$B$16)*MIN(1,5/Вводные!$B$18))*(Вводные!$B$14*(1+-0.05))*(1+Вводные!$B$15)^5*(1+Вводные!$B$19))*(1-Вводные!$B$22-Вводные!$B$27)+(Модель!I17+Модель!I18+Модель!I19+Модель!I21))+Модель!I32+Модель!I29)*Вводные!$B$39</f>
        <v/>
      </c>
      <c r="J27" s="60">
        <f>((Вводные!$B$8*365*MIN((Вводные!$B$17+0.1),Вводные!$B$16+((Вводные!$B$17+0.1)-Вводные!$B$16)*MIN(1,6/Вводные!$B$18))*(Вводные!$B$14*(1+-0.05))*(1+Вводные!$B$15)^6*(1+Вводные!$B$19))*(1-Вводные!$B$22-Вводные!$B$27)+(Модель!J17+Модель!J18+Модель!J19+Модель!J21))-MAX(0,((Вводные!$B$8*365*MIN((Вводные!$B$17+0.1),Вводные!$B$16+((Вводные!$B$17+0.1)-Вводные!$B$16)*MIN(1,6/Вводные!$B$18))*(Вводные!$B$14*(1+-0.05))*(1+Вводные!$B$15)^6*(1+Вводные!$B$19))*(1-Вводные!$B$22-Вводные!$B$27)+(Модель!J17+Модель!J18+Модель!J19+Модель!J21))+Модель!J32+Модель!J29)*Вводные!$B$39</f>
        <v/>
      </c>
      <c r="K27" s="60">
        <f>((Вводные!$B$8*365*MIN((Вводные!$B$17+0.1),Вводные!$B$16+((Вводные!$B$17+0.1)-Вводные!$B$16)*MIN(1,7/Вводные!$B$18))*(Вводные!$B$14*(1+-0.05))*(1+Вводные!$B$15)^7*(1+Вводные!$B$19))*(1-Вводные!$B$22-Вводные!$B$27)+(Модель!K17+Модель!K18+Модель!K19+Модель!K21))-MAX(0,((Вводные!$B$8*365*MIN((Вводные!$B$17+0.1),Вводные!$B$16+((Вводные!$B$17+0.1)-Вводные!$B$16)*MIN(1,7/Вводные!$B$18))*(Вводные!$B$14*(1+-0.05))*(1+Вводные!$B$15)^7*(1+Вводные!$B$19))*(1-Вводные!$B$22-Вводные!$B$27)+(Модель!K17+Модель!K18+Модель!K19+Модель!K21))+Модель!K32+Модель!K29)*Вводные!$B$39</f>
        <v/>
      </c>
      <c r="L27" s="60">
        <f>((Вводные!$B$8*365*MIN((Вводные!$B$17+0.1),Вводные!$B$16+((Вводные!$B$17+0.1)-Вводные!$B$16)*MIN(1,8/Вводные!$B$18))*(Вводные!$B$14*(1+-0.05))*(1+Вводные!$B$15)^8*(1+Вводные!$B$19))*(1-Вводные!$B$22-Вводные!$B$27)+(Модель!L17+Модель!L18+Модель!L19+Модель!L21))-MAX(0,((Вводные!$B$8*365*MIN((Вводные!$B$17+0.1),Вводные!$B$16+((Вводные!$B$17+0.1)-Вводные!$B$16)*MIN(1,8/Вводные!$B$18))*(Вводные!$B$14*(1+-0.05)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+0.1),Вводные!$B$16+((Вводные!$B$17+0.1)-Вводные!$B$16)*MIN(1,8/Вводные!$B$18))*(Вводные!$B$14*(1+-0.05))*(1+Вводные!$B$15)^8*(1+Вводные!$B$19))*(1-Вводные!$B$22-Вводные!$B$27)+(Модель!L17+Модель!L18+Модель!L19+Модель!L21))*Вводные!$B$40</f>
        <v/>
      </c>
      <c r="M27" s="51">
        <f>SUMPRODUCT(B27:L27,Модель!$B$42:$L$42)</f>
        <v/>
      </c>
      <c r="N27" s="59">
        <f>IFERROR(IRR(B27:L27),"—")</f>
        <v/>
      </c>
    </row>
    <row r="28">
      <c r="A28" s="48" t="inlineStr">
        <is>
          <t>Загрузка +10% · тариф +0%</t>
        </is>
      </c>
      <c r="B28" s="60">
        <f>Модель!B7</f>
        <v/>
      </c>
      <c r="C28" s="60">
        <f>Модель!C7</f>
        <v/>
      </c>
      <c r="D28" s="60">
        <f>((Вводные!$B$8*365*MIN((Вводные!$B$17+0.1),Вводные!$B$16+((Вводные!$B$17+0.1)-Вводные!$B$16)*MIN(1,0/Вводные!$B$18))*(Вводные!$B$14*(1+0.0))*(1+Вводные!$B$15)^0*(1+Вводные!$B$19))*(1-Вводные!$B$22-Вводные!$B$27)+(Модель!D17+Модель!D18+Модель!D19+Модель!D21))-MAX(0,((Вводные!$B$8*365*MIN((Вводные!$B$17+0.1),Вводные!$B$16+((Вводные!$B$17+0.1)-Вводные!$B$16)*MIN(1,0/Вводные!$B$18))*(Вводные!$B$14*(1+0.0))*(1+Вводные!$B$15)^0*(1+Вводные!$B$19))*(1-Вводные!$B$22-Вводные!$B$27)+(Модель!D17+Модель!D18+Модель!D19+Модель!D21))+Модель!D32+Модель!D29)*Вводные!$B$39</f>
        <v/>
      </c>
      <c r="E28" s="60">
        <f>((Вводные!$B$8*365*MIN((Вводные!$B$17+0.1),Вводные!$B$16+((Вводные!$B$17+0.1)-Вводные!$B$16)*MIN(1,1/Вводные!$B$18))*(Вводные!$B$14*(1+0.0))*(1+Вводные!$B$15)^1*(1+Вводные!$B$19))*(1-Вводные!$B$22-Вводные!$B$27)+(Модель!E17+Модель!E18+Модель!E19+Модель!E21))-MAX(0,((Вводные!$B$8*365*MIN((Вводные!$B$17+0.1),Вводные!$B$16+((Вводные!$B$17+0.1)-Вводные!$B$16)*MIN(1,1/Вводные!$B$18))*(Вводные!$B$14*(1+0.0))*(1+Вводные!$B$15)^1*(1+Вводные!$B$19))*(1-Вводные!$B$22-Вводные!$B$27)+(Модель!E17+Модель!E18+Модель!E19+Модель!E21))+Модель!E32+Модель!E29)*Вводные!$B$39</f>
        <v/>
      </c>
      <c r="F28" s="60">
        <f>((Вводные!$B$8*365*MIN((Вводные!$B$17+0.1),Вводные!$B$16+((Вводные!$B$17+0.1)-Вводные!$B$16)*MIN(1,2/Вводные!$B$18))*(Вводные!$B$14*(1+0.0))*(1+Вводные!$B$15)^2*(1+Вводные!$B$19))*(1-Вводные!$B$22-Вводные!$B$27)+(Модель!F17+Модель!F18+Модель!F19+Модель!F21))-MAX(0,((Вводные!$B$8*365*MIN((Вводные!$B$17+0.1),Вводные!$B$16+((Вводные!$B$17+0.1)-Вводные!$B$16)*MIN(1,2/Вводные!$B$18))*(Вводные!$B$14*(1+0.0))*(1+Вводные!$B$15)^2*(1+Вводные!$B$19))*(1-Вводные!$B$22-Вводные!$B$27)+(Модель!F17+Модель!F18+Модель!F19+Модель!F21))+Модель!F32+Модель!F29)*Вводные!$B$39</f>
        <v/>
      </c>
      <c r="G28" s="60">
        <f>((Вводные!$B$8*365*MIN((Вводные!$B$17+0.1),Вводные!$B$16+((Вводные!$B$17+0.1)-Вводные!$B$16)*MIN(1,3/Вводные!$B$18))*(Вводные!$B$14*(1+0.0))*(1+Вводные!$B$15)^3*(1+Вводные!$B$19))*(1-Вводные!$B$22-Вводные!$B$27)+(Модель!G17+Модель!G18+Модель!G19+Модель!G21))-MAX(0,((Вводные!$B$8*365*MIN((Вводные!$B$17+0.1),Вводные!$B$16+((Вводные!$B$17+0.1)-Вводные!$B$16)*MIN(1,3/Вводные!$B$18))*(Вводные!$B$14*(1+0.0))*(1+Вводные!$B$15)^3*(1+Вводные!$B$19))*(1-Вводные!$B$22-Вводные!$B$27)+(Модель!G17+Модель!G18+Модель!G19+Модель!G21))+Модель!G32+Модель!G29)*Вводные!$B$39</f>
        <v/>
      </c>
      <c r="H28" s="60">
        <f>((Вводные!$B$8*365*MIN((Вводные!$B$17+0.1),Вводные!$B$16+((Вводные!$B$17+0.1)-Вводные!$B$16)*MIN(1,4/Вводные!$B$18))*(Вводные!$B$14*(1+0.0))*(1+Вводные!$B$15)^4*(1+Вводные!$B$19))*(1-Вводные!$B$22-Вводные!$B$27)+(Модель!H17+Модель!H18+Модель!H19+Модель!H21))-MAX(0,((Вводные!$B$8*365*MIN((Вводные!$B$17+0.1),Вводные!$B$16+((Вводные!$B$17+0.1)-Вводные!$B$16)*MIN(1,4/Вводные!$B$18))*(Вводные!$B$14*(1+0.0))*(1+Вводные!$B$15)^4*(1+Вводные!$B$19))*(1-Вводные!$B$22-Вводные!$B$27)+(Модель!H17+Модель!H18+Модель!H19+Модель!H21))+Модель!H32+Модель!H29)*Вводные!$B$39</f>
        <v/>
      </c>
      <c r="I28" s="60">
        <f>((Вводные!$B$8*365*MIN((Вводные!$B$17+0.1),Вводные!$B$16+((Вводные!$B$17+0.1)-Вводные!$B$16)*MIN(1,5/Вводные!$B$18))*(Вводные!$B$14*(1+0.0))*(1+Вводные!$B$15)^5*(1+Вводные!$B$19))*(1-Вводные!$B$22-Вводные!$B$27)+(Модель!I17+Модель!I18+Модель!I19+Модель!I21))-MAX(0,((Вводные!$B$8*365*MIN((Вводные!$B$17+0.1),Вводные!$B$16+((Вводные!$B$17+0.1)-Вводные!$B$16)*MIN(1,5/Вводные!$B$18))*(Вводные!$B$14*(1+0.0))*(1+Вводные!$B$15)^5*(1+Вводные!$B$19))*(1-Вводные!$B$22-Вводные!$B$27)+(Модель!I17+Модель!I18+Модель!I19+Модель!I21))+Модель!I32+Модель!I29)*Вводные!$B$39</f>
        <v/>
      </c>
      <c r="J28" s="60">
        <f>((Вводные!$B$8*365*MIN((Вводные!$B$17+0.1),Вводные!$B$16+((Вводные!$B$17+0.1)-Вводные!$B$16)*MIN(1,6/Вводные!$B$18))*(Вводные!$B$14*(1+0.0))*(1+Вводные!$B$15)^6*(1+Вводные!$B$19))*(1-Вводные!$B$22-Вводные!$B$27)+(Модель!J17+Модель!J18+Модель!J19+Модель!J21))-MAX(0,((Вводные!$B$8*365*MIN((Вводные!$B$17+0.1),Вводные!$B$16+((Вводные!$B$17+0.1)-Вводные!$B$16)*MIN(1,6/Вводные!$B$18))*(Вводные!$B$14*(1+0.0))*(1+Вводные!$B$15)^6*(1+Вводные!$B$19))*(1-Вводные!$B$22-Вводные!$B$27)+(Модель!J17+Модель!J18+Модель!J19+Модель!J21))+Модель!J32+Модель!J29)*Вводные!$B$39</f>
        <v/>
      </c>
      <c r="K28" s="60">
        <f>((Вводные!$B$8*365*MIN((Вводные!$B$17+0.1),Вводные!$B$16+((Вводные!$B$17+0.1)-Вводные!$B$16)*MIN(1,7/Вводные!$B$18))*(Вводные!$B$14*(1+0.0))*(1+Вводные!$B$15)^7*(1+Вводные!$B$19))*(1-Вводные!$B$22-Вводные!$B$27)+(Модель!K17+Модель!K18+Модель!K19+Модель!K21))-MAX(0,((Вводные!$B$8*365*MIN((Вводные!$B$17+0.1),Вводные!$B$16+((Вводные!$B$17+0.1)-Вводные!$B$16)*MIN(1,7/Вводные!$B$18))*(Вводные!$B$14*(1+0.0))*(1+Вводные!$B$15)^7*(1+Вводные!$B$19))*(1-Вводные!$B$22-Вводные!$B$27)+(Модель!K17+Модель!K18+Модель!K19+Модель!K21))+Модель!K32+Модель!K29)*Вводные!$B$39</f>
        <v/>
      </c>
      <c r="L28" s="60">
        <f>((Вводные!$B$8*365*MIN((Вводные!$B$17+0.1),Вводные!$B$16+((Вводные!$B$17+0.1)-Вводные!$B$16)*MIN(1,8/Вводные!$B$18))*(Вводные!$B$14*(1+0.0))*(1+Вводные!$B$15)^8*(1+Вводные!$B$19))*(1-Вводные!$B$22-Вводные!$B$27)+(Модель!L17+Модель!L18+Модель!L19+Модель!L21))-MAX(0,((Вводные!$B$8*365*MIN((Вводные!$B$17+0.1),Вводные!$B$16+((Вводные!$B$17+0.1)-Вводные!$B$16)*MIN(1,8/Вводные!$B$18))*(Вводные!$B$14*(1+0.0)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+0.1),Вводные!$B$16+((Вводные!$B$17+0.1)-Вводные!$B$16)*MIN(1,8/Вводные!$B$18))*(Вводные!$B$14*(1+0.0))*(1+Вводные!$B$15)^8*(1+Вводные!$B$19))*(1-Вводные!$B$22-Вводные!$B$27)+(Модель!L17+Модель!L18+Модель!L19+Модель!L21))*Вводные!$B$40</f>
        <v/>
      </c>
      <c r="M28" s="51">
        <f>SUMPRODUCT(B28:L28,Модель!$B$42:$L$42)</f>
        <v/>
      </c>
      <c r="N28" s="59">
        <f>IFERROR(IRR(B28:L28),"—")</f>
        <v/>
      </c>
    </row>
    <row r="29">
      <c r="A29" s="48" t="inlineStr">
        <is>
          <t>Загрузка +10% · тариф +5%</t>
        </is>
      </c>
      <c r="B29" s="60">
        <f>Модель!B7</f>
        <v/>
      </c>
      <c r="C29" s="60">
        <f>Модель!C7</f>
        <v/>
      </c>
      <c r="D29" s="60">
        <f>((Вводные!$B$8*365*MIN((Вводные!$B$17+0.1),Вводные!$B$16+((Вводные!$B$17+0.1)-Вводные!$B$16)*MIN(1,0/Вводные!$B$18))*(Вводные!$B$14*(1+0.05))*(1+Вводные!$B$15)^0*(1+Вводные!$B$19))*(1-Вводные!$B$22-Вводные!$B$27)+(Модель!D17+Модель!D18+Модель!D19+Модель!D21))-MAX(0,((Вводные!$B$8*365*MIN((Вводные!$B$17+0.1),Вводные!$B$16+((Вводные!$B$17+0.1)-Вводные!$B$16)*MIN(1,0/Вводные!$B$18))*(Вводные!$B$14*(1+0.05))*(1+Вводные!$B$15)^0*(1+Вводные!$B$19))*(1-Вводные!$B$22-Вводные!$B$27)+(Модель!D17+Модель!D18+Модель!D19+Модель!D21))+Модель!D32+Модель!D29)*Вводные!$B$39</f>
        <v/>
      </c>
      <c r="E29" s="60">
        <f>((Вводные!$B$8*365*MIN((Вводные!$B$17+0.1),Вводные!$B$16+((Вводные!$B$17+0.1)-Вводные!$B$16)*MIN(1,1/Вводные!$B$18))*(Вводные!$B$14*(1+0.05))*(1+Вводные!$B$15)^1*(1+Вводные!$B$19))*(1-Вводные!$B$22-Вводные!$B$27)+(Модель!E17+Модель!E18+Модель!E19+Модель!E21))-MAX(0,((Вводные!$B$8*365*MIN((Вводные!$B$17+0.1),Вводные!$B$16+((Вводные!$B$17+0.1)-Вводные!$B$16)*MIN(1,1/Вводные!$B$18))*(Вводные!$B$14*(1+0.05))*(1+Вводные!$B$15)^1*(1+Вводные!$B$19))*(1-Вводные!$B$22-Вводные!$B$27)+(Модель!E17+Модель!E18+Модель!E19+Модель!E21))+Модель!E32+Модель!E29)*Вводные!$B$39</f>
        <v/>
      </c>
      <c r="F29" s="60">
        <f>((Вводные!$B$8*365*MIN((Вводные!$B$17+0.1),Вводные!$B$16+((Вводные!$B$17+0.1)-Вводные!$B$16)*MIN(1,2/Вводные!$B$18))*(Вводные!$B$14*(1+0.05))*(1+Вводные!$B$15)^2*(1+Вводные!$B$19))*(1-Вводные!$B$22-Вводные!$B$27)+(Модель!F17+Модель!F18+Модель!F19+Модель!F21))-MAX(0,((Вводные!$B$8*365*MIN((Вводные!$B$17+0.1),Вводные!$B$16+((Вводные!$B$17+0.1)-Вводные!$B$16)*MIN(1,2/Вводные!$B$18))*(Вводные!$B$14*(1+0.05))*(1+Вводные!$B$15)^2*(1+Вводные!$B$19))*(1-Вводные!$B$22-Вводные!$B$27)+(Модель!F17+Модель!F18+Модель!F19+Модель!F21))+Модель!F32+Модель!F29)*Вводные!$B$39</f>
        <v/>
      </c>
      <c r="G29" s="60">
        <f>((Вводные!$B$8*365*MIN((Вводные!$B$17+0.1),Вводные!$B$16+((Вводные!$B$17+0.1)-Вводные!$B$16)*MIN(1,3/Вводные!$B$18))*(Вводные!$B$14*(1+0.05))*(1+Вводные!$B$15)^3*(1+Вводные!$B$19))*(1-Вводные!$B$22-Вводные!$B$27)+(Модель!G17+Модель!G18+Модель!G19+Модель!G21))-MAX(0,((Вводные!$B$8*365*MIN((Вводные!$B$17+0.1),Вводные!$B$16+((Вводные!$B$17+0.1)-Вводные!$B$16)*MIN(1,3/Вводные!$B$18))*(Вводные!$B$14*(1+0.05))*(1+Вводные!$B$15)^3*(1+Вводные!$B$19))*(1-Вводные!$B$22-Вводные!$B$27)+(Модель!G17+Модель!G18+Модель!G19+Модель!G21))+Модель!G32+Модель!G29)*Вводные!$B$39</f>
        <v/>
      </c>
      <c r="H29" s="60">
        <f>((Вводные!$B$8*365*MIN((Вводные!$B$17+0.1),Вводные!$B$16+((Вводные!$B$17+0.1)-Вводные!$B$16)*MIN(1,4/Вводные!$B$18))*(Вводные!$B$14*(1+0.05))*(1+Вводные!$B$15)^4*(1+Вводные!$B$19))*(1-Вводные!$B$22-Вводные!$B$27)+(Модель!H17+Модель!H18+Модель!H19+Модель!H21))-MAX(0,((Вводные!$B$8*365*MIN((Вводные!$B$17+0.1),Вводные!$B$16+((Вводные!$B$17+0.1)-Вводные!$B$16)*MIN(1,4/Вводные!$B$18))*(Вводные!$B$14*(1+0.05))*(1+Вводные!$B$15)^4*(1+Вводные!$B$19))*(1-Вводные!$B$22-Вводные!$B$27)+(Модель!H17+Модель!H18+Модель!H19+Модель!H21))+Модель!H32+Модель!H29)*Вводные!$B$39</f>
        <v/>
      </c>
      <c r="I29" s="60">
        <f>((Вводные!$B$8*365*MIN((Вводные!$B$17+0.1),Вводные!$B$16+((Вводные!$B$17+0.1)-Вводные!$B$16)*MIN(1,5/Вводные!$B$18))*(Вводные!$B$14*(1+0.05))*(1+Вводные!$B$15)^5*(1+Вводные!$B$19))*(1-Вводные!$B$22-Вводные!$B$27)+(Модель!I17+Модель!I18+Модель!I19+Модель!I21))-MAX(0,((Вводные!$B$8*365*MIN((Вводные!$B$17+0.1),Вводные!$B$16+((Вводные!$B$17+0.1)-Вводные!$B$16)*MIN(1,5/Вводные!$B$18))*(Вводные!$B$14*(1+0.05))*(1+Вводные!$B$15)^5*(1+Вводные!$B$19))*(1-Вводные!$B$22-Вводные!$B$27)+(Модель!I17+Модель!I18+Модель!I19+Модель!I21))+Модель!I32+Модель!I29)*Вводные!$B$39</f>
        <v/>
      </c>
      <c r="J29" s="60">
        <f>((Вводные!$B$8*365*MIN((Вводные!$B$17+0.1),Вводные!$B$16+((Вводные!$B$17+0.1)-Вводные!$B$16)*MIN(1,6/Вводные!$B$18))*(Вводные!$B$14*(1+0.05))*(1+Вводные!$B$15)^6*(1+Вводные!$B$19))*(1-Вводные!$B$22-Вводные!$B$27)+(Модель!J17+Модель!J18+Модель!J19+Модель!J21))-MAX(0,((Вводные!$B$8*365*MIN((Вводные!$B$17+0.1),Вводные!$B$16+((Вводные!$B$17+0.1)-Вводные!$B$16)*MIN(1,6/Вводные!$B$18))*(Вводные!$B$14*(1+0.05))*(1+Вводные!$B$15)^6*(1+Вводные!$B$19))*(1-Вводные!$B$22-Вводные!$B$27)+(Модель!J17+Модель!J18+Модель!J19+Модель!J21))+Модель!J32+Модель!J29)*Вводные!$B$39</f>
        <v/>
      </c>
      <c r="K29" s="60">
        <f>((Вводные!$B$8*365*MIN((Вводные!$B$17+0.1),Вводные!$B$16+((Вводные!$B$17+0.1)-Вводные!$B$16)*MIN(1,7/Вводные!$B$18))*(Вводные!$B$14*(1+0.05))*(1+Вводные!$B$15)^7*(1+Вводные!$B$19))*(1-Вводные!$B$22-Вводные!$B$27)+(Модель!K17+Модель!K18+Модель!K19+Модель!K21))-MAX(0,((Вводные!$B$8*365*MIN((Вводные!$B$17+0.1),Вводные!$B$16+((Вводные!$B$17+0.1)-Вводные!$B$16)*MIN(1,7/Вводные!$B$18))*(Вводные!$B$14*(1+0.05))*(1+Вводные!$B$15)^7*(1+Вводные!$B$19))*(1-Вводные!$B$22-Вводные!$B$27)+(Модель!K17+Модель!K18+Модель!K19+Модель!K21))+Модель!K32+Модель!K29)*Вводные!$B$39</f>
        <v/>
      </c>
      <c r="L29" s="60">
        <f>((Вводные!$B$8*365*MIN((Вводные!$B$17+0.1),Вводные!$B$16+((Вводные!$B$17+0.1)-Вводные!$B$16)*MIN(1,8/Вводные!$B$18))*(Вводные!$B$14*(1+0.05))*(1+Вводные!$B$15)^8*(1+Вводные!$B$19))*(1-Вводные!$B$22-Вводные!$B$27)+(Модель!L17+Модель!L18+Модель!L19+Модель!L21))-MAX(0,((Вводные!$B$8*365*MIN((Вводные!$B$17+0.1),Вводные!$B$16+((Вводные!$B$17+0.1)-Вводные!$B$16)*MIN(1,8/Вводные!$B$18))*(Вводные!$B$14*(1+0.05)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+0.1),Вводные!$B$16+((Вводные!$B$17+0.1)-Вводные!$B$16)*MIN(1,8/Вводные!$B$18))*(Вводные!$B$14*(1+0.05))*(1+Вводные!$B$15)^8*(1+Вводные!$B$19))*(1-Вводные!$B$22-Вводные!$B$27)+(Модель!L17+Модель!L18+Модель!L19+Модель!L21))*Вводные!$B$40</f>
        <v/>
      </c>
      <c r="M29" s="51">
        <f>SUMPRODUCT(B29:L29,Модель!$B$42:$L$42)</f>
        <v/>
      </c>
      <c r="N29" s="59">
        <f>IFERROR(IRR(B29:L29),"—")</f>
        <v/>
      </c>
    </row>
    <row r="30">
      <c r="A30" s="48" t="inlineStr">
        <is>
          <t>Загрузка +10% · тариф +10%</t>
        </is>
      </c>
      <c r="B30" s="60">
        <f>Модель!B7</f>
        <v/>
      </c>
      <c r="C30" s="60">
        <f>Модель!C7</f>
        <v/>
      </c>
      <c r="D30" s="60">
        <f>((Вводные!$B$8*365*MIN((Вводные!$B$17+0.1),Вводные!$B$16+((Вводные!$B$17+0.1)-Вводные!$B$16)*MIN(1,0/Вводные!$B$18))*(Вводные!$B$14*(1+0.1))*(1+Вводные!$B$15)^0*(1+Вводные!$B$19))*(1-Вводные!$B$22-Вводные!$B$27)+(Модель!D17+Модель!D18+Модель!D19+Модель!D21))-MAX(0,((Вводные!$B$8*365*MIN((Вводные!$B$17+0.1),Вводные!$B$16+((Вводные!$B$17+0.1)-Вводные!$B$16)*MIN(1,0/Вводные!$B$18))*(Вводные!$B$14*(1+0.1))*(1+Вводные!$B$15)^0*(1+Вводные!$B$19))*(1-Вводные!$B$22-Вводные!$B$27)+(Модель!D17+Модель!D18+Модель!D19+Модель!D21))+Модель!D32+Модель!D29)*Вводные!$B$39</f>
        <v/>
      </c>
      <c r="E30" s="60">
        <f>((Вводные!$B$8*365*MIN((Вводные!$B$17+0.1),Вводные!$B$16+((Вводные!$B$17+0.1)-Вводные!$B$16)*MIN(1,1/Вводные!$B$18))*(Вводные!$B$14*(1+0.1))*(1+Вводные!$B$15)^1*(1+Вводные!$B$19))*(1-Вводные!$B$22-Вводные!$B$27)+(Модель!E17+Модель!E18+Модель!E19+Модель!E21))-MAX(0,((Вводные!$B$8*365*MIN((Вводные!$B$17+0.1),Вводные!$B$16+((Вводные!$B$17+0.1)-Вводные!$B$16)*MIN(1,1/Вводные!$B$18))*(Вводные!$B$14*(1+0.1))*(1+Вводные!$B$15)^1*(1+Вводные!$B$19))*(1-Вводные!$B$22-Вводные!$B$27)+(Модель!E17+Модель!E18+Модель!E19+Модель!E21))+Модель!E32+Модель!E29)*Вводные!$B$39</f>
        <v/>
      </c>
      <c r="F30" s="60">
        <f>((Вводные!$B$8*365*MIN((Вводные!$B$17+0.1),Вводные!$B$16+((Вводные!$B$17+0.1)-Вводные!$B$16)*MIN(1,2/Вводные!$B$18))*(Вводные!$B$14*(1+0.1))*(1+Вводные!$B$15)^2*(1+Вводные!$B$19))*(1-Вводные!$B$22-Вводные!$B$27)+(Модель!F17+Модель!F18+Модель!F19+Модель!F21))-MAX(0,((Вводные!$B$8*365*MIN((Вводные!$B$17+0.1),Вводные!$B$16+((Вводные!$B$17+0.1)-Вводные!$B$16)*MIN(1,2/Вводные!$B$18))*(Вводные!$B$14*(1+0.1))*(1+Вводные!$B$15)^2*(1+Вводные!$B$19))*(1-Вводные!$B$22-Вводные!$B$27)+(Модель!F17+Модель!F18+Модель!F19+Модель!F21))+Модель!F32+Модель!F29)*Вводные!$B$39</f>
        <v/>
      </c>
      <c r="G30" s="60">
        <f>((Вводные!$B$8*365*MIN((Вводные!$B$17+0.1),Вводные!$B$16+((Вводные!$B$17+0.1)-Вводные!$B$16)*MIN(1,3/Вводные!$B$18))*(Вводные!$B$14*(1+0.1))*(1+Вводные!$B$15)^3*(1+Вводные!$B$19))*(1-Вводные!$B$22-Вводные!$B$27)+(Модель!G17+Модель!G18+Модель!G19+Модель!G21))-MAX(0,((Вводные!$B$8*365*MIN((Вводные!$B$17+0.1),Вводные!$B$16+((Вводные!$B$17+0.1)-Вводные!$B$16)*MIN(1,3/Вводные!$B$18))*(Вводные!$B$14*(1+0.1))*(1+Вводные!$B$15)^3*(1+Вводные!$B$19))*(1-Вводные!$B$22-Вводные!$B$27)+(Модель!G17+Модель!G18+Модель!G19+Модель!G21))+Модель!G32+Модель!G29)*Вводные!$B$39</f>
        <v/>
      </c>
      <c r="H30" s="60">
        <f>((Вводные!$B$8*365*MIN((Вводные!$B$17+0.1),Вводные!$B$16+((Вводные!$B$17+0.1)-Вводные!$B$16)*MIN(1,4/Вводные!$B$18))*(Вводные!$B$14*(1+0.1))*(1+Вводные!$B$15)^4*(1+Вводные!$B$19))*(1-Вводные!$B$22-Вводные!$B$27)+(Модель!H17+Модель!H18+Модель!H19+Модель!H21))-MAX(0,((Вводные!$B$8*365*MIN((Вводные!$B$17+0.1),Вводные!$B$16+((Вводные!$B$17+0.1)-Вводные!$B$16)*MIN(1,4/Вводные!$B$18))*(Вводные!$B$14*(1+0.1))*(1+Вводные!$B$15)^4*(1+Вводные!$B$19))*(1-Вводные!$B$22-Вводные!$B$27)+(Модель!H17+Модель!H18+Модель!H19+Модель!H21))+Модель!H32+Модель!H29)*Вводные!$B$39</f>
        <v/>
      </c>
      <c r="I30" s="60">
        <f>((Вводные!$B$8*365*MIN((Вводные!$B$17+0.1),Вводные!$B$16+((Вводные!$B$17+0.1)-Вводные!$B$16)*MIN(1,5/Вводные!$B$18))*(Вводные!$B$14*(1+0.1))*(1+Вводные!$B$15)^5*(1+Вводные!$B$19))*(1-Вводные!$B$22-Вводные!$B$27)+(Модель!I17+Модель!I18+Модель!I19+Модель!I21))-MAX(0,((Вводные!$B$8*365*MIN((Вводные!$B$17+0.1),Вводные!$B$16+((Вводные!$B$17+0.1)-Вводные!$B$16)*MIN(1,5/Вводные!$B$18))*(Вводные!$B$14*(1+0.1))*(1+Вводные!$B$15)^5*(1+Вводные!$B$19))*(1-Вводные!$B$22-Вводные!$B$27)+(Модель!I17+Модель!I18+Модель!I19+Модель!I21))+Модель!I32+Модель!I29)*Вводные!$B$39</f>
        <v/>
      </c>
      <c r="J30" s="60">
        <f>((Вводные!$B$8*365*MIN((Вводные!$B$17+0.1),Вводные!$B$16+((Вводные!$B$17+0.1)-Вводные!$B$16)*MIN(1,6/Вводные!$B$18))*(Вводные!$B$14*(1+0.1))*(1+Вводные!$B$15)^6*(1+Вводные!$B$19))*(1-Вводные!$B$22-Вводные!$B$27)+(Модель!J17+Модель!J18+Модель!J19+Модель!J21))-MAX(0,((Вводные!$B$8*365*MIN((Вводные!$B$17+0.1),Вводные!$B$16+((Вводные!$B$17+0.1)-Вводные!$B$16)*MIN(1,6/Вводные!$B$18))*(Вводные!$B$14*(1+0.1))*(1+Вводные!$B$15)^6*(1+Вводные!$B$19))*(1-Вводные!$B$22-Вводные!$B$27)+(Модель!J17+Модель!J18+Модель!J19+Модель!J21))+Модель!J32+Модель!J29)*Вводные!$B$39</f>
        <v/>
      </c>
      <c r="K30" s="60">
        <f>((Вводные!$B$8*365*MIN((Вводные!$B$17+0.1),Вводные!$B$16+((Вводные!$B$17+0.1)-Вводные!$B$16)*MIN(1,7/Вводные!$B$18))*(Вводные!$B$14*(1+0.1))*(1+Вводные!$B$15)^7*(1+Вводные!$B$19))*(1-Вводные!$B$22-Вводные!$B$27)+(Модель!K17+Модель!K18+Модель!K19+Модель!K21))-MAX(0,((Вводные!$B$8*365*MIN((Вводные!$B$17+0.1),Вводные!$B$16+((Вводные!$B$17+0.1)-Вводные!$B$16)*MIN(1,7/Вводные!$B$18))*(Вводные!$B$14*(1+0.1))*(1+Вводные!$B$15)^7*(1+Вводные!$B$19))*(1-Вводные!$B$22-Вводные!$B$27)+(Модель!K17+Модель!K18+Модель!K19+Модель!K21))+Модель!K32+Модель!K29)*Вводные!$B$39</f>
        <v/>
      </c>
      <c r="L30" s="60">
        <f>((Вводные!$B$8*365*MIN((Вводные!$B$17+0.1),Вводные!$B$16+((Вводные!$B$17+0.1)-Вводные!$B$16)*MIN(1,8/Вводные!$B$18))*(Вводные!$B$14*(1+0.1))*(1+Вводные!$B$15)^8*(1+Вводные!$B$19))*(1-Вводные!$B$22-Вводные!$B$27)+(Модель!L17+Модель!L18+Модель!L19+Модель!L21))-MAX(0,((Вводные!$B$8*365*MIN((Вводные!$B$17+0.1),Вводные!$B$16+((Вводные!$B$17+0.1)-Вводные!$B$16)*MIN(1,8/Вводные!$B$18))*(Вводные!$B$14*(1+0.1))*(1+Вводные!$B$15)^8*(1+Вводные!$B$19))*(1-Вводные!$B$22-Вводные!$B$27)+(Модель!L17+Модель!L18+Модель!L19+Модель!L21))+Модель!L32+Модель!L29)*Вводные!$B$39+((Вводные!$B$8*365*MIN((Вводные!$B$17+0.1),Вводные!$B$16+((Вводные!$B$17+0.1)-Вводные!$B$16)*MIN(1,8/Вводные!$B$18))*(Вводные!$B$14*(1+0.1))*(1+Вводные!$B$15)^8*(1+Вводные!$B$19))*(1-Вводные!$B$22-Вводные!$B$27)+(Модель!L17+Модель!L18+Модель!L19+Модель!L21))*Вводные!$B$40</f>
        <v/>
      </c>
      <c r="M30" s="51">
        <f>SUMPRODUCT(B30:L30,Модель!$B$42:$L$42)</f>
        <v/>
      </c>
      <c r="N30" s="59">
        <f>IFERROR(IRR(B30:L30),"—")</f>
        <v/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939F"/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37" t="inlineStr">
        <is>
          <t>Год</t>
        </is>
      </c>
      <c r="B1" s="37" t="inlineStr">
        <is>
          <t>Год 0</t>
        </is>
      </c>
      <c r="C1" s="37" t="inlineStr">
        <is>
          <t>Год 1</t>
        </is>
      </c>
      <c r="D1" s="37" t="inlineStr">
        <is>
          <t>Год 2</t>
        </is>
      </c>
      <c r="E1" s="37" t="inlineStr">
        <is>
          <t>Год 3</t>
        </is>
      </c>
      <c r="F1" s="37" t="inlineStr">
        <is>
          <t>Год 4</t>
        </is>
      </c>
      <c r="G1" s="37" t="inlineStr">
        <is>
          <t>Год 5</t>
        </is>
      </c>
      <c r="H1" s="37" t="inlineStr">
        <is>
          <t>Год 6</t>
        </is>
      </c>
      <c r="I1" s="37" t="inlineStr">
        <is>
          <t>Год 7</t>
        </is>
      </c>
      <c r="J1" s="37" t="inlineStr">
        <is>
          <t>Год 8</t>
        </is>
      </c>
      <c r="K1" s="37" t="inlineStr">
        <is>
          <t>Год 9</t>
        </is>
      </c>
      <c r="L1" s="37" t="inlineStr">
        <is>
          <t>Год 10</t>
        </is>
      </c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</row>
    <row r="2">
      <c r="A2" s="37" t="inlineStr">
        <is>
          <t>Выручка</t>
        </is>
      </c>
      <c r="B2" s="37">
        <f>Модель!B15</f>
        <v/>
      </c>
      <c r="C2" s="37">
        <f>Модель!C15</f>
        <v/>
      </c>
      <c r="D2" s="37">
        <f>Модель!D15</f>
        <v/>
      </c>
      <c r="E2" s="37">
        <f>Модель!E15</f>
        <v/>
      </c>
      <c r="F2" s="37">
        <f>Модель!F15</f>
        <v/>
      </c>
      <c r="G2" s="37">
        <f>Модель!G15</f>
        <v/>
      </c>
      <c r="H2" s="37">
        <f>Модель!H15</f>
        <v/>
      </c>
      <c r="I2" s="37">
        <f>Модель!I15</f>
        <v/>
      </c>
      <c r="J2" s="37">
        <f>Модель!J15</f>
        <v/>
      </c>
      <c r="K2" s="37">
        <f>Модель!K15</f>
        <v/>
      </c>
      <c r="L2" s="37">
        <f>Модель!L15</f>
        <v/>
      </c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</row>
    <row r="3">
      <c r="A3" s="37" t="inlineStr">
        <is>
          <t>EBITDA</t>
        </is>
      </c>
      <c r="B3" s="37">
        <f>Модель!B23</f>
        <v/>
      </c>
      <c r="C3" s="37">
        <f>Модель!C23</f>
        <v/>
      </c>
      <c r="D3" s="37">
        <f>Модель!D23</f>
        <v/>
      </c>
      <c r="E3" s="37">
        <f>Модель!E23</f>
        <v/>
      </c>
      <c r="F3" s="37">
        <f>Модель!F23</f>
        <v/>
      </c>
      <c r="G3" s="37">
        <f>Модель!G23</f>
        <v/>
      </c>
      <c r="H3" s="37">
        <f>Модель!H23</f>
        <v/>
      </c>
      <c r="I3" s="37">
        <f>Модель!I23</f>
        <v/>
      </c>
      <c r="J3" s="37">
        <f>Модель!J23</f>
        <v/>
      </c>
      <c r="K3" s="37">
        <f>Модель!K23</f>
        <v/>
      </c>
      <c r="L3" s="37">
        <f>Модель!L23</f>
        <v/>
      </c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</row>
    <row r="4">
      <c r="A4" s="37" t="inlineStr">
        <is>
          <t>Денежный поток проекта</t>
        </is>
      </c>
      <c r="B4" s="37">
        <f>Модель!B40</f>
        <v/>
      </c>
      <c r="C4" s="37">
        <f>Модель!C40</f>
        <v/>
      </c>
      <c r="D4" s="37">
        <f>Модель!D40</f>
        <v/>
      </c>
      <c r="E4" s="37">
        <f>Модель!E40</f>
        <v/>
      </c>
      <c r="F4" s="37">
        <f>Модель!F40</f>
        <v/>
      </c>
      <c r="G4" s="37">
        <f>Модель!G40</f>
        <v/>
      </c>
      <c r="H4" s="37">
        <f>Модель!H40</f>
        <v/>
      </c>
      <c r="I4" s="37">
        <f>Модель!I40</f>
        <v/>
      </c>
      <c r="J4" s="37">
        <f>Модель!J40</f>
        <v/>
      </c>
      <c r="K4" s="37">
        <f>Модель!K40</f>
        <v/>
      </c>
      <c r="L4" s="37">
        <f>Модель!L40</f>
        <v/>
      </c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</row>
    <row r="5">
      <c r="A5" s="37" t="inlineStr">
        <is>
          <t>Накопленный дисконтированный</t>
        </is>
      </c>
      <c r="B5" s="37">
        <f>Модель!B44</f>
        <v/>
      </c>
      <c r="C5" s="37">
        <f>Модель!C44</f>
        <v/>
      </c>
      <c r="D5" s="37">
        <f>Модель!D44</f>
        <v/>
      </c>
      <c r="E5" s="37">
        <f>Модель!E44</f>
        <v/>
      </c>
      <c r="F5" s="37">
        <f>Модель!F44</f>
        <v/>
      </c>
      <c r="G5" s="37">
        <f>Модель!G44</f>
        <v/>
      </c>
      <c r="H5" s="37">
        <f>Модель!H44</f>
        <v/>
      </c>
      <c r="I5" s="37">
        <f>Модель!I44</f>
        <v/>
      </c>
      <c r="J5" s="37">
        <f>Модель!J44</f>
        <v/>
      </c>
      <c r="K5" s="37">
        <f>Модель!K44</f>
        <v/>
      </c>
      <c r="L5" s="37">
        <f>Модель!L44</f>
        <v/>
      </c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</row>
    <row r="6">
      <c r="A6" s="37" t="inlineStr">
        <is>
          <t>Загрузка</t>
        </is>
      </c>
      <c r="B6" s="37">
        <f>Модель!B10</f>
        <v/>
      </c>
      <c r="C6" s="37">
        <f>Модель!C10</f>
        <v/>
      </c>
      <c r="D6" s="37">
        <f>Модель!D10</f>
        <v/>
      </c>
      <c r="E6" s="37">
        <f>Модель!E10</f>
        <v/>
      </c>
      <c r="F6" s="37">
        <f>Модель!F10</f>
        <v/>
      </c>
      <c r="G6" s="37">
        <f>Модель!G10</f>
        <v/>
      </c>
      <c r="H6" s="37">
        <f>Модель!H10</f>
        <v/>
      </c>
      <c r="I6" s="37">
        <f>Модель!I10</f>
        <v/>
      </c>
      <c r="J6" s="37">
        <f>Модель!J10</f>
        <v/>
      </c>
      <c r="K6" s="37">
        <f>Модель!K10</f>
        <v/>
      </c>
      <c r="L6" s="37">
        <f>Модель!L10</f>
        <v/>
      </c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</row>
    <row r="7">
      <c r="A7" s="37" t="inlineStr">
        <is>
          <t>Выручка на дом</t>
        </is>
      </c>
      <c r="B7" s="37">
        <f>Модель!B25</f>
        <v/>
      </c>
      <c r="C7" s="37">
        <f>Модель!C25</f>
        <v/>
      </c>
      <c r="D7" s="37">
        <f>Модель!D25</f>
        <v/>
      </c>
      <c r="E7" s="37">
        <f>Модель!E25</f>
        <v/>
      </c>
      <c r="F7" s="37">
        <f>Модель!F25</f>
        <v/>
      </c>
      <c r="G7" s="37">
        <f>Модель!G25</f>
        <v/>
      </c>
      <c r="H7" s="37">
        <f>Модель!H25</f>
        <v/>
      </c>
      <c r="I7" s="37">
        <f>Модель!I25</f>
        <v/>
      </c>
      <c r="J7" s="37">
        <f>Модель!J25</f>
        <v/>
      </c>
      <c r="K7" s="37">
        <f>Модель!K25</f>
        <v/>
      </c>
      <c r="L7" s="37">
        <f>Модель!L25</f>
        <v/>
      </c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</row>
    <row r="8">
      <c r="A8" s="37" t="inlineStr">
        <is>
          <t>DSCR</t>
        </is>
      </c>
      <c r="B8" s="37">
        <f>Модель!B36</f>
        <v/>
      </c>
      <c r="C8" s="37">
        <f>Модель!C36</f>
        <v/>
      </c>
      <c r="D8" s="37">
        <f>Модель!D36</f>
        <v/>
      </c>
      <c r="E8" s="37">
        <f>Модель!E36</f>
        <v/>
      </c>
      <c r="F8" s="37">
        <f>Модель!F36</f>
        <v/>
      </c>
      <c r="G8" s="37">
        <f>Модель!G36</f>
        <v/>
      </c>
      <c r="H8" s="37">
        <f>Модель!H36</f>
        <v/>
      </c>
      <c r="I8" s="37">
        <f>Модель!I36</f>
        <v/>
      </c>
      <c r="J8" s="37">
        <f>Модель!J36</f>
        <v/>
      </c>
      <c r="K8" s="37">
        <f>Модель!K36</f>
        <v/>
      </c>
      <c r="L8" s="37">
        <f>Модель!L36</f>
        <v/>
      </c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</row>
    <row r="9">
      <c r="A9" s="37" t="inlineStr">
        <is>
          <t>Остаток долга</t>
        </is>
      </c>
      <c r="B9" s="37">
        <f>Модель!B31</f>
        <v/>
      </c>
      <c r="C9" s="37">
        <f>Модель!C31</f>
        <v/>
      </c>
      <c r="D9" s="37">
        <f>Модель!D31</f>
        <v/>
      </c>
      <c r="E9" s="37">
        <f>Модель!E31</f>
        <v/>
      </c>
      <c r="F9" s="37">
        <f>Модель!F31</f>
        <v/>
      </c>
      <c r="G9" s="37">
        <f>Модель!G31</f>
        <v/>
      </c>
      <c r="H9" s="37">
        <f>Модель!H31</f>
        <v/>
      </c>
      <c r="I9" s="37">
        <f>Модель!I31</f>
        <v/>
      </c>
      <c r="J9" s="37">
        <f>Модель!J31</f>
        <v/>
      </c>
      <c r="K9" s="37">
        <f>Модель!K31</f>
        <v/>
      </c>
      <c r="L9" s="37">
        <f>Модель!L31</f>
        <v/>
      </c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</row>
    <row r="12">
      <c r="A12" s="37" t="inlineStr">
        <is>
          <t>Земля</t>
        </is>
      </c>
      <c r="B12" s="37">
        <f>Вводные!$B$5</f>
        <v/>
      </c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</row>
    <row r="13">
      <c r="A13" s="37" t="inlineStr">
        <is>
          <t>Проектирование</t>
        </is>
      </c>
      <c r="B13" s="37">
        <f>Вводные!$B$6</f>
        <v/>
      </c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</row>
    <row r="14">
      <c r="A14" s="37" t="inlineStr">
        <is>
          <t>Дома</t>
        </is>
      </c>
      <c r="B14" s="37">
        <f>Вводные!$B$7*Вводные!$B$8</f>
        <v/>
      </c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</row>
    <row r="15">
      <c r="A15" s="37" t="inlineStr">
        <is>
          <t>Сети и благоустройство</t>
        </is>
      </c>
      <c r="B15" s="37">
        <f>Вводные!$B$9</f>
        <v/>
      </c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</row>
    <row r="16">
      <c r="A16" s="37" t="inlineStr">
        <is>
          <t>Мебель и оборудование</t>
        </is>
      </c>
      <c r="B16" s="37">
        <f>Вводные!$B$10</f>
        <v/>
      </c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</row>
    <row r="18">
      <c r="A18" s="37" t="inlineStr">
        <is>
          <t>45%</t>
        </is>
      </c>
      <c r="B18" s="37">
        <f>Чувствительность!M8</f>
        <v/>
      </c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</row>
    <row r="19">
      <c r="A19" s="37" t="inlineStr">
        <is>
          <t>50%</t>
        </is>
      </c>
      <c r="B19" s="37">
        <f>Чувствительность!M13</f>
        <v/>
      </c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</row>
    <row r="20">
      <c r="A20" s="37" t="inlineStr">
        <is>
          <t>55%</t>
        </is>
      </c>
      <c r="B20" s="37">
        <f>Чувствительность!M18</f>
        <v/>
      </c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</row>
    <row r="21">
      <c r="A21" s="37" t="inlineStr">
        <is>
          <t>60%</t>
        </is>
      </c>
      <c r="B21" s="37">
        <f>Чувствительность!M23</f>
        <v/>
      </c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</row>
    <row r="22">
      <c r="A22" s="37" t="inlineStr">
        <is>
          <t>65%</t>
        </is>
      </c>
      <c r="B22" s="37">
        <f>Чувствительность!M28</f>
        <v/>
      </c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</row>
    <row r="24">
      <c r="A24" s="37" t="inlineStr">
        <is>
          <t>Освоение</t>
        </is>
      </c>
      <c r="B24" s="37">
        <f>Инвестфаза!B15</f>
        <v/>
      </c>
      <c r="C24" s="37">
        <f>Инвестфаза!C15</f>
        <v/>
      </c>
      <c r="D24" s="37">
        <f>Инвестфаза!D15</f>
        <v/>
      </c>
      <c r="E24" s="37">
        <f>Инвестфаза!E15</f>
        <v/>
      </c>
      <c r="F24" s="37">
        <f>Инвестфаза!F15</f>
        <v/>
      </c>
      <c r="G24" s="37">
        <f>Инвестфаза!G15</f>
        <v/>
      </c>
      <c r="H24" s="37">
        <f>Инвестфаза!H15</f>
        <v/>
      </c>
      <c r="I24" s="37">
        <f>Инвестфаза!I15</f>
        <v/>
      </c>
      <c r="J24" s="37">
        <f>Инвестфаза!J15</f>
        <v/>
      </c>
      <c r="K24" s="37">
        <f>Инвестфаза!K15</f>
        <v/>
      </c>
      <c r="L24" s="37">
        <f>Инвестфаза!L15</f>
        <v/>
      </c>
      <c r="M24" s="37">
        <f>Инвестфаза!M15</f>
        <v/>
      </c>
      <c r="N24" s="37">
        <f>Инвестфаза!N15</f>
        <v/>
      </c>
      <c r="O24" s="37">
        <f>Инвестфаза!O15</f>
        <v/>
      </c>
      <c r="P24" s="37">
        <f>Инвестфаза!P15</f>
        <v/>
      </c>
      <c r="Q24" s="37">
        <f>Инвестфаза!Q15</f>
        <v/>
      </c>
      <c r="R24" s="37">
        <f>Инвестфаза!R15</f>
        <v/>
      </c>
      <c r="S24" s="37">
        <f>Инвестфаза!S15</f>
        <v/>
      </c>
      <c r="T24" s="37">
        <f>Инвестфаза!T15</f>
        <v/>
      </c>
      <c r="U24" s="37">
        <f>Инвестфаза!U15</f>
        <v/>
      </c>
      <c r="V24" s="37">
        <f>Инвестфаза!V15</f>
        <v/>
      </c>
      <c r="W24" s="37">
        <f>Инвестфаза!W15</f>
        <v/>
      </c>
      <c r="X24" s="37">
        <f>Инвестфаза!X15</f>
        <v/>
      </c>
      <c r="Y24" s="37">
        <f>Инвестфаза!Y15</f>
        <v/>
      </c>
    </row>
    <row r="25">
      <c r="A25" s="37" t="inlineStr">
        <is>
          <t>Готовность</t>
        </is>
      </c>
      <c r="B25" s="37">
        <f>Инвестфаза!B16</f>
        <v/>
      </c>
      <c r="C25" s="37">
        <f>Инвестфаза!C16</f>
        <v/>
      </c>
      <c r="D25" s="37">
        <f>Инвестфаза!D16</f>
        <v/>
      </c>
      <c r="E25" s="37">
        <f>Инвестфаза!E16</f>
        <v/>
      </c>
      <c r="F25" s="37">
        <f>Инвестфаза!F16</f>
        <v/>
      </c>
      <c r="G25" s="37">
        <f>Инвестфаза!G16</f>
        <v/>
      </c>
      <c r="H25" s="37">
        <f>Инвестфаза!H16</f>
        <v/>
      </c>
      <c r="I25" s="37">
        <f>Инвестфаза!I16</f>
        <v/>
      </c>
      <c r="J25" s="37">
        <f>Инвестфаза!J16</f>
        <v/>
      </c>
      <c r="K25" s="37">
        <f>Инвестфаза!K16</f>
        <v/>
      </c>
      <c r="L25" s="37">
        <f>Инвестфаза!L16</f>
        <v/>
      </c>
      <c r="M25" s="37">
        <f>Инвестфаза!M16</f>
        <v/>
      </c>
      <c r="N25" s="37">
        <f>Инвестфаза!N16</f>
        <v/>
      </c>
      <c r="O25" s="37">
        <f>Инвестфаза!O16</f>
        <v/>
      </c>
      <c r="P25" s="37">
        <f>Инвестфаза!P16</f>
        <v/>
      </c>
      <c r="Q25" s="37">
        <f>Инвестфаза!Q16</f>
        <v/>
      </c>
      <c r="R25" s="37">
        <f>Инвестфаза!R16</f>
        <v/>
      </c>
      <c r="S25" s="37">
        <f>Инвестфаза!S16</f>
        <v/>
      </c>
      <c r="T25" s="37">
        <f>Инвестфаза!T16</f>
        <v/>
      </c>
      <c r="U25" s="37">
        <f>Инвестфаза!U16</f>
        <v/>
      </c>
      <c r="V25" s="37">
        <f>Инвестфаза!V16</f>
        <v/>
      </c>
      <c r="W25" s="37">
        <f>Инвестфаза!W16</f>
        <v/>
      </c>
      <c r="X25" s="37">
        <f>Инвестфаза!X16</f>
        <v/>
      </c>
      <c r="Y25" s="37">
        <f>Инвестфаза!Y16</f>
        <v/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939F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2026-09-05T16:45:11Z</dcterms:created>
  <dcterms:modified xmlns:dcterms="http://purl.org/dc/terms/" xmlns:xsi="http://www.w3.org/2001/XMLSchema-instance" xsi:type="dcterms:W3CDTF">2026-09-05T16:46:37Z</dcterms:modified>
</cp:coreProperties>
</file>